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主事業出欠表" sheetId="1" r:id="rId4"/>
    <sheet state="visible" name="定例会・委員会" sheetId="2" r:id="rId5"/>
    <sheet state="visible" name="理事会" sheetId="3" r:id="rId6"/>
    <sheet state="visible" name="出欠個人別割合表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PC-user:
全て数式入っています。
分母は12回にしてあります。</t>
      </text>
    </comment>
    <comment authorId="0" ref="E20">
      <text>
        <t xml:space="preserve">PC-user:
全て数式入っています。
分母は11回にしてあります。</t>
      </text>
    </comment>
  </commentList>
</comments>
</file>

<file path=xl/sharedStrings.xml><?xml version="1.0" encoding="utf-8"?>
<sst xmlns="http://schemas.openxmlformats.org/spreadsheetml/2006/main" count="586" uniqueCount="138">
  <si>
    <t xml:space="preserve">　　　事　　業　　等</t>
  </si>
  <si>
    <t>新年総会</t>
  </si>
  <si>
    <t>２０２６年度 新年交流会</t>
  </si>
  <si>
    <t>第４２回郷土かるた大会</t>
  </si>
  <si>
    <t>２月定例会</t>
  </si>
  <si>
    <t>拡大アワー</t>
  </si>
  <si>
    <t>３月定例会</t>
  </si>
  <si>
    <t>地域アワー</t>
  </si>
  <si>
    <t>新入会員バッチ授与式</t>
  </si>
  <si>
    <t>石川ブロック野球大会</t>
  </si>
  <si>
    <t xml:space="preserve">４月４LOM合同定例会　</t>
  </si>
  <si>
    <t>第３８回わんぱく相撲加賀場所</t>
  </si>
  <si>
    <t>５月定例会</t>
  </si>
  <si>
    <t>６月定例会</t>
  </si>
  <si>
    <t>第２９回わんぱく相撲石川大会</t>
  </si>
  <si>
    <t>第　回じゃがいもゴルフコンペ</t>
  </si>
  <si>
    <t>地区フォーラムin</t>
  </si>
  <si>
    <t>地区野球大会</t>
  </si>
  <si>
    <t>JCIASPAC</t>
  </si>
  <si>
    <t>石川コンファレンスＩＮ</t>
  </si>
  <si>
    <t>7月定例会及び臨時総会</t>
  </si>
  <si>
    <t>サマーコンファレンス</t>
  </si>
  <si>
    <t>人財育成事業</t>
  </si>
  <si>
    <t>８月定例会</t>
  </si>
  <si>
    <t>９月3団体合同定例会</t>
  </si>
  <si>
    <t>わんぱく相撲全国女子大会</t>
  </si>
  <si>
    <t>地域活性化事業</t>
  </si>
  <si>
    <t>全国大会　大会</t>
  </si>
  <si>
    <t>１０月定例会及び臨時総会</t>
  </si>
  <si>
    <t>第　回じゃがいもゴルフ大会</t>
  </si>
  <si>
    <t>１１月定例会</t>
  </si>
  <si>
    <t>卒業式</t>
  </si>
  <si>
    <t>クリスマス家族交流会</t>
  </si>
  <si>
    <t>12月定例会及び臨時総会</t>
  </si>
  <si>
    <t>日　付</t>
  </si>
  <si>
    <t>メンバー数</t>
  </si>
  <si>
    <t>出席者（名）</t>
  </si>
  <si>
    <t>出席率（％）</t>
  </si>
  <si>
    <t xml:space="preserve">  正副・直前・顧問・監事</t>
  </si>
  <si>
    <t>岡田　洋介</t>
  </si>
  <si>
    <t>島　大助</t>
  </si>
  <si>
    <t>矢田郷　和敬</t>
  </si>
  <si>
    <t>吉田　洸市</t>
  </si>
  <si>
    <t>吉田　翔馬</t>
  </si>
  <si>
    <t>今井　拓哉</t>
  </si>
  <si>
    <t>前田　拓真</t>
  </si>
  <si>
    <t>岡澤　拓弥</t>
  </si>
  <si>
    <t>中谷　一世</t>
  </si>
  <si>
    <t>出席率</t>
  </si>
  <si>
    <t>事務局</t>
  </si>
  <si>
    <t>中川　恭甫</t>
  </si>
  <si>
    <t>川根　駿</t>
  </si>
  <si>
    <t>石上　紗理香</t>
  </si>
  <si>
    <t>小嶋　裕子</t>
  </si>
  <si>
    <t>早崎　峻徳</t>
  </si>
  <si>
    <t>矢敷　卓朗</t>
  </si>
  <si>
    <t>委員会出席率</t>
  </si>
  <si>
    <t>まちづくり委員会</t>
  </si>
  <si>
    <t>池端　秀人</t>
  </si>
  <si>
    <t>西谷　昭彦</t>
  </si>
  <si>
    <t>衛藤　友也</t>
  </si>
  <si>
    <t>大藏　竜也</t>
  </si>
  <si>
    <t>加端　大樹</t>
  </si>
  <si>
    <t>野崎　大</t>
  </si>
  <si>
    <t>橋本　彩可</t>
  </si>
  <si>
    <t>森元　瑛</t>
  </si>
  <si>
    <t>ひとづくり委員会</t>
  </si>
  <si>
    <t>曽根　詩乃</t>
  </si>
  <si>
    <t>金井　大和</t>
  </si>
  <si>
    <t>北村　　翔太</t>
  </si>
  <si>
    <t>治下　祐樹</t>
  </si>
  <si>
    <t>下内　貴人</t>
  </si>
  <si>
    <t>中村　正隆</t>
  </si>
  <si>
    <t>福岡　善行</t>
  </si>
  <si>
    <t>守岡　佑</t>
  </si>
  <si>
    <t>西　利騎</t>
  </si>
  <si>
    <t>平田　拓巳</t>
  </si>
  <si>
    <t>会員開発委員会</t>
  </si>
  <si>
    <t>藤澤　祐希</t>
  </si>
  <si>
    <t>藤懿　仰</t>
  </si>
  <si>
    <t>河西　紀明</t>
  </si>
  <si>
    <t>東野　隼太</t>
  </si>
  <si>
    <t>山口　銀斗</t>
  </si>
  <si>
    <t>寺前　泰生</t>
  </si>
  <si>
    <t>加賀絆委員会</t>
  </si>
  <si>
    <t>角出　芳樹</t>
  </si>
  <si>
    <t>西戸　大樹</t>
  </si>
  <si>
    <t>池越　眞平</t>
  </si>
  <si>
    <t>喜多　絵里香</t>
  </si>
  <si>
    <t>西出　泰伽</t>
  </si>
  <si>
    <t>西山　峻史</t>
  </si>
  <si>
    <t>財務・例会委員会</t>
  </si>
  <si>
    <t>奥村　航大</t>
  </si>
  <si>
    <t>竹野　有希</t>
  </si>
  <si>
    <t>田中　太基</t>
  </si>
  <si>
    <t>西田　匠吾</t>
  </si>
  <si>
    <t>西出　揮一郎</t>
  </si>
  <si>
    <t>山﨑　翔己</t>
  </si>
  <si>
    <t>オブザーバー</t>
  </si>
  <si>
    <t>定例会</t>
  </si>
  <si>
    <t>委員会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</si>
  <si>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</si>
  <si>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</si>
  <si>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</si>
  <si>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</si>
  <si>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</si>
  <si>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</si>
  <si>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</si>
  <si>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</si>
  <si>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</si>
  <si>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</si>
  <si>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⑫</t>
  </si>
  <si>
    <t>⑪</t>
  </si>
  <si>
    <t xml:space="preserve"> 正副・直前・顧問・監事</t>
  </si>
  <si>
    <t>×</t>
  </si>
  <si>
    <t>○</t>
  </si>
  <si>
    <t>？</t>
  </si>
  <si>
    <t>山田　拓</t>
  </si>
  <si>
    <t>尾花　佑</t>
  </si>
  <si>
    <t>瑓　貴大</t>
  </si>
  <si>
    <t>２０２６年度　理事会出欠状況</t>
  </si>
  <si>
    <t>１月</t>
  </si>
  <si>
    <t>２月</t>
  </si>
  <si>
    <t>３月</t>
  </si>
  <si>
    <t>４月</t>
  </si>
  <si>
    <t>５月</t>
  </si>
  <si>
    <t>６月</t>
  </si>
  <si>
    <t>７月</t>
  </si>
  <si>
    <t>８月</t>
  </si>
  <si>
    <t>９月</t>
  </si>
  <si>
    <t>１０月</t>
  </si>
  <si>
    <t>１１月</t>
  </si>
  <si>
    <t>１２月</t>
  </si>
  <si>
    <t>出欠率(％)</t>
  </si>
  <si>
    <t>ｵﾌﾞｻﾞｰﾊﾞｰ</t>
  </si>
  <si>
    <t>理事会</t>
  </si>
  <si>
    <t xml:space="preserve">　正副・直前・顧問・監事</t>
  </si>
  <si>
    <t xml:space="preserve">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</si>
</sst>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"/>
    <numFmt numFmtId="165" formatCode="0_);[Red]\(0\)"/>
    <numFmt numFmtId="166" formatCode="0.0%"/>
    <numFmt numFmtId="167" formatCode="General&quot;/9&quot;"/>
    <numFmt numFmtId="168" formatCode="General&quot;/6&quot;"/>
    <numFmt numFmtId="169" formatCode="General&quot;/8&quot;"/>
    <numFmt numFmtId="170" formatCode="General&quot;/5&quot;"/>
    <numFmt numFmtId="171" formatCode="General&quot;/12&quot;"/>
    <numFmt numFmtId="172" formatCode="General&quot;/11&quot;"/>
    <numFmt numFmtId="173" formatCode="General&quot;/10&quot;"/>
    <numFmt numFmtId="174" formatCode="General&quot;/7&quot;"/>
  </numFmts>
  <fonts count="11">
    <font>
      <sz val="11.0"/>
      <color rgb="FF000000"/>
      <name val="Arial"/>
      <scheme val="minor"/>
    </font>
    <font>
      <sz val="11.0"/>
      <name val="MS PGothic"/>
    </font>
    <font>
      <sz val="12.0"/>
      <name val="MS PGothic"/>
    </font>
    <font/>
    <font>
      <sz val="12.0"/>
      <color rgb="FFFF0000"/>
      <name val="MS PGothic"/>
    </font>
    <font>
      <sz val="13.0"/>
      <name val="MS PGothic"/>
    </font>
    <font>
      <sz val="9.0"/>
      <name val="MS PGothic"/>
    </font>
    <font>
      <sz val="8.0"/>
      <name val="MS PGothic"/>
    </font>
    <font>
      <sz val="10.0"/>
      <name val="MS PGothic"/>
    </font>
    <font>
      <sz val="16.0"/>
      <name val="MS PGothic"/>
    </font>
    <font>
      <b/>
      <sz val="11.0"/>
      <name val="MS P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BFBFBF"/>
        <bgColor rgb="FFBFBFBF"/>
      </patternFill>
    </fill>
  </fills>
  <borders count="1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ck">
        <color rgb="FF000000"/>
      </bottom>
    </border>
    <border>
      <right style="thin">
        <color rgb="FF000000"/>
      </right>
      <top style="double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/>
      <right style="thin">
        <color rgb="FF000000"/>
      </right>
      <top style="hair">
        <color rgb="FF000000"/>
      </top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top style="hair">
        <color rgb="FF000000"/>
      </top>
    </border>
    <border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right style="thin">
        <color rgb="FF000000"/>
      </right>
      <top style="double">
        <color rgb="FF000000"/>
      </top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/>
      <right style="thin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</border>
    <border>
      <right style="thin">
        <color rgb="FF000000"/>
      </right>
    </border>
    <border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right style="thin">
        <color rgb="FF000000"/>
      </right>
      <top style="hair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medium">
        <color rgb="FF000000"/>
      </left>
      <right/>
      <top style="hair">
        <color rgb="FF000000"/>
      </top>
      <bottom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/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1" textRotation="255" vertical="top" wrapText="0"/>
    </xf>
    <xf borderId="1" fillId="0" fontId="2" numFmtId="0" xfId="0" applyAlignment="1" applyBorder="1" applyFont="1">
      <alignment shrinkToFit="1" textRotation="255" vertical="top" wrapText="0"/>
    </xf>
    <xf borderId="1" fillId="0" fontId="2" numFmtId="0" xfId="0" applyAlignment="1" applyBorder="1" applyFont="1">
      <alignment shrinkToFit="1" textRotation="255" vertical="top" wrapText="0"/>
    </xf>
    <xf borderId="1" fillId="0" fontId="2" numFmtId="0" xfId="0" applyAlignment="1" applyBorder="1" applyFont="1">
      <alignment shrinkToFit="0" textRotation="255" vertical="top" wrapText="1"/>
    </xf>
    <xf borderId="2" fillId="0" fontId="2" numFmtId="0" xfId="0" applyAlignment="1" applyBorder="1" applyFont="1">
      <alignment shrinkToFit="0" textRotation="255" vertical="top" wrapText="1"/>
    </xf>
    <xf borderId="0" fillId="0" fontId="2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horizontal="center" shrinkToFit="1" vertical="center" wrapText="0"/>
    </xf>
    <xf borderId="1" fillId="0" fontId="1" numFmtId="164" xfId="0" applyAlignment="1" applyBorder="1" applyFont="1" applyNumberFormat="1">
      <alignment horizontal="center" shrinkToFit="1" vertical="center" wrapText="0"/>
    </xf>
    <xf borderId="1" fillId="0" fontId="1" numFmtId="164" xfId="0" applyAlignment="1" applyBorder="1" applyFont="1" applyNumberFormat="1">
      <alignment horizontal="center" shrinkToFit="1" vertical="center" wrapText="0"/>
    </xf>
    <xf borderId="4" fillId="0" fontId="1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1" vertical="bottom" wrapText="0"/>
    </xf>
    <xf borderId="1" fillId="0" fontId="2" numFmtId="165" xfId="0" applyAlignment="1" applyBorder="1" applyFont="1" applyNumberFormat="1">
      <alignment horizontal="center" shrinkToFit="1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165" xfId="0" applyAlignment="1" applyBorder="1" applyFont="1" applyNumberFormat="1">
      <alignment horizontal="center" shrinkToFit="1" vertical="center" wrapText="0"/>
    </xf>
    <xf borderId="4" fillId="0" fontId="2" numFmtId="164" xfId="0" applyAlignment="1" applyBorder="1" applyFont="1" applyNumberFormat="1">
      <alignment horizontal="center" shrinkToFit="1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2" numFmtId="166" xfId="0" applyAlignment="1" applyBorder="1" applyFont="1" applyNumberFormat="1">
      <alignment horizontal="center" shrinkToFit="0" vertical="center" wrapText="0"/>
    </xf>
    <xf borderId="8" fillId="0" fontId="2" numFmtId="166" xfId="0" applyAlignment="1" applyBorder="1" applyFont="1" applyNumberFormat="1">
      <alignment horizontal="center" shrinkToFit="0" vertical="center" wrapText="0"/>
    </xf>
    <xf borderId="7" fillId="0" fontId="2" numFmtId="166" xfId="0" applyAlignment="1" applyBorder="1" applyFont="1" applyNumberFormat="1">
      <alignment horizontal="center" shrinkToFit="0" vertical="center" wrapText="0"/>
    </xf>
    <xf borderId="9" fillId="0" fontId="2" numFmtId="0" xfId="0" applyAlignment="1" applyBorder="1" applyFont="1">
      <alignment horizontal="center" shrinkToFit="1" textRotation="255" vertical="top" wrapText="0"/>
    </xf>
    <xf borderId="10" fillId="0" fontId="1" numFmtId="0" xfId="0" applyAlignment="1" applyBorder="1" applyFont="1">
      <alignment horizontal="center" shrinkToFit="1" vertical="center" wrapText="0"/>
    </xf>
    <xf borderId="11" fillId="0" fontId="1" numFmtId="0" xfId="0" applyAlignment="1" applyBorder="1" applyFont="1">
      <alignment horizontal="center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12" fillId="0" fontId="2" numFmtId="0" xfId="0" applyAlignment="1" applyBorder="1" applyFont="1">
      <alignment horizontal="center" shrinkToFit="0" vertical="bottom" wrapText="0"/>
    </xf>
    <xf borderId="13" fillId="0" fontId="2" numFmtId="0" xfId="0" applyAlignment="1" applyBorder="1" applyFont="1">
      <alignment horizontal="center"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4" fillId="0" fontId="3" numFmtId="0" xfId="0" applyBorder="1" applyFont="1"/>
    <xf borderId="14" fillId="0" fontId="1" numFmtId="0" xfId="0" applyAlignment="1" applyBorder="1" applyFont="1">
      <alignment horizontal="center" shrinkToFit="1" vertical="center" wrapText="0"/>
    </xf>
    <xf borderId="15" fillId="0" fontId="1" numFmtId="0" xfId="0" applyAlignment="1" applyBorder="1" applyFont="1">
      <alignment horizontal="center" shrinkToFit="0" vertical="bottom" wrapText="0"/>
    </xf>
    <xf borderId="13" fillId="0" fontId="1" numFmtId="0" xfId="0" applyAlignment="1" applyBorder="1" applyFont="1">
      <alignment horizontal="center" shrinkToFit="0" vertical="bottom" wrapText="0"/>
    </xf>
    <xf borderId="16" fillId="0" fontId="1" numFmtId="0" xfId="0" applyAlignment="1" applyBorder="1" applyFont="1">
      <alignment horizontal="center" shrinkToFit="0" vertical="bottom" wrapText="0"/>
    </xf>
    <xf borderId="16" fillId="0" fontId="1" numFmtId="0" xfId="0" applyAlignment="1" applyBorder="1" applyFont="1">
      <alignment horizontal="center" shrinkToFit="1" vertical="bottom" wrapText="0"/>
    </xf>
    <xf borderId="17" fillId="2" fontId="2" numFmtId="0" xfId="0" applyAlignment="1" applyBorder="1" applyFill="1" applyFont="1">
      <alignment horizontal="center" shrinkToFit="1" vertical="center" wrapText="0"/>
    </xf>
    <xf borderId="18" fillId="2" fontId="2" numFmtId="0" xfId="0" applyAlignment="1" applyBorder="1" applyFont="1">
      <alignment horizontal="center" shrinkToFit="1" vertical="center" wrapText="0"/>
    </xf>
    <xf borderId="16" fillId="0" fontId="2" numFmtId="0" xfId="0" applyAlignment="1" applyBorder="1" applyFont="1">
      <alignment horizontal="center" shrinkToFit="1" vertical="center" wrapText="0"/>
    </xf>
    <xf borderId="19" fillId="2" fontId="2" numFmtId="0" xfId="0" applyAlignment="1" applyBorder="1" applyFont="1">
      <alignment horizontal="center" shrinkToFit="1" vertical="center" wrapText="0"/>
    </xf>
    <xf borderId="20" fillId="2" fontId="2" numFmtId="0" xfId="0" applyAlignment="1" applyBorder="1" applyFont="1">
      <alignment horizontal="center" shrinkToFit="1" vertical="center" wrapText="0"/>
    </xf>
    <xf borderId="6" fillId="0" fontId="3" numFmtId="0" xfId="0" applyBorder="1" applyFont="1"/>
    <xf borderId="21" fillId="3" fontId="2" numFmtId="0" xfId="0" applyAlignment="1" applyBorder="1" applyFill="1" applyFont="1">
      <alignment horizontal="center" shrinkToFit="0" vertical="bottom" wrapText="0"/>
    </xf>
    <xf borderId="6" fillId="0" fontId="2" numFmtId="167" xfId="0" applyAlignment="1" applyBorder="1" applyFont="1" applyNumberFormat="1">
      <alignment horizontal="center" shrinkToFit="0" vertical="bottom" wrapText="0"/>
    </xf>
    <xf borderId="22" fillId="0" fontId="2" numFmtId="167" xfId="0" applyAlignment="1" applyBorder="1" applyFont="1" applyNumberFormat="1">
      <alignment horizontal="center" shrinkToFit="0" vertical="bottom" wrapText="0"/>
    </xf>
    <xf borderId="23" fillId="0" fontId="2" numFmtId="167" xfId="0" applyAlignment="1" applyBorder="1" applyFont="1" applyNumberFormat="1">
      <alignment horizontal="center" shrinkToFit="0" vertical="bottom" wrapText="0"/>
    </xf>
    <xf borderId="14" fillId="0" fontId="1" numFmtId="0" xfId="0" applyAlignment="1" applyBorder="1" applyFont="1">
      <alignment horizontal="center" shrinkToFit="0" vertical="bottom" wrapText="0"/>
    </xf>
    <xf borderId="24" fillId="0" fontId="2" numFmtId="0" xfId="0" applyAlignment="1" applyBorder="1" applyFont="1">
      <alignment horizontal="center" shrinkToFit="0" vertical="bottom" wrapText="0"/>
    </xf>
    <xf borderId="24" fillId="0" fontId="1" numFmtId="0" xfId="0" applyAlignment="1" applyBorder="1" applyFont="1">
      <alignment horizontal="center" shrinkToFit="0" vertical="bottom" wrapText="0"/>
    </xf>
    <xf borderId="25" fillId="0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26" fillId="0" fontId="2" numFmtId="0" xfId="0" applyAlignment="1" applyBorder="1" applyFont="1">
      <alignment horizontal="center" shrinkToFit="0" vertical="bottom" wrapText="0"/>
    </xf>
    <xf borderId="27" fillId="0" fontId="2" numFmtId="0" xfId="0" applyAlignment="1" applyBorder="1" applyFont="1">
      <alignment horizontal="center" shrinkToFit="0" vertical="bottom" wrapText="0"/>
    </xf>
    <xf borderId="6" fillId="0" fontId="2" numFmtId="168" xfId="0" applyAlignment="1" applyBorder="1" applyFont="1" applyNumberFormat="1">
      <alignment horizontal="center" shrinkToFit="0" vertical="bottom" wrapText="0"/>
    </xf>
    <xf borderId="24" fillId="0" fontId="2" numFmtId="0" xfId="0" applyAlignment="1" applyBorder="1" applyFont="1">
      <alignment horizontal="center" shrinkToFit="0" textRotation="255" vertical="top" wrapText="0"/>
    </xf>
    <xf borderId="28" fillId="0" fontId="1" numFmtId="0" xfId="0" applyAlignment="1" applyBorder="1" applyFont="1">
      <alignment horizontal="center" shrinkToFit="0" vertical="bottom" wrapText="0"/>
    </xf>
    <xf borderId="29" fillId="0" fontId="2" numFmtId="0" xfId="0" applyAlignment="1" applyBorder="1" applyFont="1">
      <alignment horizontal="center" shrinkToFit="0" vertical="bottom" wrapText="0"/>
    </xf>
    <xf borderId="30" fillId="0" fontId="1" numFmtId="0" xfId="0" applyAlignment="1" applyBorder="1" applyFont="1">
      <alignment horizontal="center" shrinkToFit="0" vertical="bottom" wrapText="0"/>
    </xf>
    <xf borderId="26" fillId="0" fontId="1" numFmtId="0" xfId="0" applyAlignment="1" applyBorder="1" applyFont="1">
      <alignment horizontal="center" shrinkToFit="0" vertical="bottom" wrapText="0"/>
    </xf>
    <xf borderId="13" fillId="0" fontId="2" numFmtId="38" xfId="0" applyAlignment="1" applyBorder="1" applyFont="1" applyNumberFormat="1">
      <alignment horizontal="center" shrinkToFit="0" vertical="bottom" wrapText="0"/>
    </xf>
    <xf borderId="27" fillId="0" fontId="1" numFmtId="0" xfId="0" applyAlignment="1" applyBorder="1" applyFont="1">
      <alignment horizontal="center" shrinkToFit="0" vertical="bottom" wrapText="0"/>
    </xf>
    <xf borderId="31" fillId="3" fontId="2" numFmtId="0" xfId="0" applyAlignment="1" applyBorder="1" applyFont="1">
      <alignment horizontal="center" shrinkToFit="0" vertical="bottom" wrapText="0"/>
    </xf>
    <xf borderId="6" fillId="0" fontId="2" numFmtId="169" xfId="0" applyAlignment="1" applyBorder="1" applyFont="1" applyNumberFormat="1">
      <alignment horizontal="center" shrinkToFit="0" vertical="bottom" wrapText="0"/>
    </xf>
    <xf borderId="32" fillId="0" fontId="2" numFmtId="0" xfId="0" applyAlignment="1" applyBorder="1" applyFont="1">
      <alignment horizontal="center" shrinkToFit="0" vertical="bottom" wrapText="0"/>
    </xf>
    <xf borderId="33" fillId="0" fontId="1" numFmtId="0" xfId="0" applyAlignment="1" applyBorder="1" applyFont="1">
      <alignment horizontal="center" shrinkToFit="0" vertical="bottom" wrapText="0"/>
    </xf>
    <xf borderId="34" fillId="0" fontId="1" numFmtId="0" xfId="0" applyAlignment="1" applyBorder="1" applyFont="1">
      <alignment horizontal="center" shrinkToFit="0" vertical="bottom" wrapText="0"/>
    </xf>
    <xf borderId="16" fillId="0" fontId="2" numFmtId="0" xfId="0" applyAlignment="1" applyBorder="1" applyFont="1">
      <alignment horizontal="center" shrinkToFit="0" vertical="bottom" wrapText="0"/>
    </xf>
    <xf borderId="35" fillId="0" fontId="1" numFmtId="0" xfId="0" applyAlignment="1" applyBorder="1" applyFont="1">
      <alignment horizontal="center" shrinkToFit="0" vertical="bottom" wrapText="0"/>
    </xf>
    <xf borderId="15" fillId="0" fontId="2" numFmtId="0" xfId="0" applyAlignment="1" applyBorder="1" applyFont="1">
      <alignment horizontal="center" shrinkToFit="0" vertical="bottom" wrapText="0"/>
    </xf>
    <xf borderId="19" fillId="2" fontId="1" numFmtId="0" xfId="0" applyAlignment="1" applyBorder="1" applyFont="1">
      <alignment horizontal="center" shrinkToFit="1" vertical="center" wrapText="0"/>
    </xf>
    <xf borderId="36" fillId="0" fontId="2" numFmtId="0" xfId="0" applyAlignment="1" applyBorder="1" applyFont="1">
      <alignment horizontal="center" shrinkToFit="0" vertical="bottom" wrapText="0"/>
    </xf>
    <xf borderId="14" fillId="0" fontId="2" numFmtId="0" xfId="0" applyAlignment="1" applyBorder="1" applyFont="1">
      <alignment horizontal="center" shrinkToFit="0" vertical="bottom" wrapText="0"/>
    </xf>
    <xf borderId="37" fillId="2" fontId="1" numFmtId="0" xfId="0" applyAlignment="1" applyBorder="1" applyFont="1">
      <alignment horizontal="center" shrinkToFit="1" vertical="center" wrapText="0"/>
    </xf>
    <xf borderId="38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39" fillId="0" fontId="2" numFmtId="0" xfId="0" applyAlignment="1" applyBorder="1" applyFont="1">
      <alignment horizontal="center" shrinkToFit="0" vertical="bottom" wrapText="0"/>
    </xf>
    <xf borderId="16" fillId="0" fontId="1" numFmtId="0" xfId="0" applyAlignment="1" applyBorder="1" applyFont="1">
      <alignment horizontal="center" shrinkToFit="1" vertical="center" wrapText="0"/>
    </xf>
    <xf borderId="13" fillId="0" fontId="1" numFmtId="0" xfId="0" applyAlignment="1" applyBorder="1" applyFont="1">
      <alignment shrinkToFit="0" vertical="bottom" wrapText="0"/>
    </xf>
    <xf borderId="26" fillId="0" fontId="1" numFmtId="0" xfId="0" applyAlignment="1" applyBorder="1" applyFont="1">
      <alignment horizontal="center" shrinkToFit="1" vertical="center" wrapText="0"/>
    </xf>
    <xf borderId="40" fillId="0" fontId="1" numFmtId="0" xfId="0" applyAlignment="1" applyBorder="1" applyFont="1">
      <alignment horizontal="center" shrinkToFit="0" vertical="bottom" wrapText="0"/>
    </xf>
    <xf borderId="35" fillId="0" fontId="2" numFmtId="0" xfId="0" applyAlignment="1" applyBorder="1" applyFont="1">
      <alignment horizontal="center" shrinkToFit="0" vertical="bottom" wrapText="0"/>
    </xf>
    <xf borderId="29" fillId="0" fontId="1" numFmtId="0" xfId="0" applyAlignment="1" applyBorder="1" applyFont="1">
      <alignment horizontal="center" shrinkToFit="0" vertical="bottom" wrapText="0"/>
    </xf>
    <xf borderId="29" fillId="0" fontId="1" numFmtId="0" xfId="0" applyAlignment="1" applyBorder="1" applyFont="1">
      <alignment horizontal="center" shrinkToFit="1" vertical="center" wrapText="0"/>
    </xf>
    <xf borderId="29" fillId="0" fontId="4" numFmtId="0" xfId="0" applyAlignment="1" applyBorder="1" applyFont="1">
      <alignment horizontal="center" shrinkToFit="0" vertical="bottom" wrapText="0"/>
    </xf>
    <xf borderId="38" fillId="0" fontId="1" numFmtId="0" xfId="0" applyAlignment="1" applyBorder="1" applyFont="1">
      <alignment horizontal="center" shrinkToFit="0" vertical="bottom" wrapText="0"/>
    </xf>
    <xf borderId="15" fillId="0" fontId="1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horizontal="center" shrinkToFit="0" vertical="bottom" wrapText="0"/>
    </xf>
    <xf borderId="41" fillId="0" fontId="2" numFmtId="0" xfId="0" applyAlignment="1" applyBorder="1" applyFont="1">
      <alignment horizontal="center" shrinkToFit="0" vertical="bottom" wrapText="0"/>
    </xf>
    <xf borderId="16" fillId="0" fontId="2" numFmtId="0" xfId="0" applyAlignment="1" applyBorder="1" applyFont="1">
      <alignment horizontal="center" shrinkToFit="1" vertical="bottom" wrapText="0"/>
    </xf>
    <xf borderId="42" fillId="0" fontId="2" numFmtId="0" xfId="0" applyAlignment="1" applyBorder="1" applyFont="1">
      <alignment horizontal="center" shrinkToFit="0" vertical="bottom" wrapText="0"/>
    </xf>
    <xf borderId="6" fillId="0" fontId="2" numFmtId="170" xfId="0" applyAlignment="1" applyBorder="1" applyFont="1" applyNumberFormat="1">
      <alignment horizontal="center" shrinkToFit="0" vertical="bottom" wrapText="0"/>
    </xf>
    <xf borderId="43" fillId="2" fontId="2" numFmtId="0" xfId="0" applyAlignment="1" applyBorder="1" applyFont="1">
      <alignment horizontal="center" shrinkToFit="1" vertical="center" wrapText="0"/>
    </xf>
    <xf borderId="44" fillId="0" fontId="2" numFmtId="0" xfId="0" applyAlignment="1" applyBorder="1" applyFont="1">
      <alignment horizontal="center" shrinkToFit="0" vertical="bottom" wrapText="0"/>
    </xf>
    <xf borderId="45" fillId="0" fontId="2" numFmtId="0" xfId="0" applyAlignment="1" applyBorder="1" applyFont="1">
      <alignment horizontal="center" shrinkToFit="0" vertical="bottom" wrapText="0"/>
    </xf>
    <xf borderId="46" fillId="0" fontId="2" numFmtId="0" xfId="0" applyAlignment="1" applyBorder="1" applyFont="1">
      <alignment horizontal="center" shrinkToFit="0" vertical="bottom" wrapText="0"/>
    </xf>
    <xf borderId="37" fillId="2" fontId="2" numFmtId="0" xfId="0" applyAlignment="1" applyBorder="1" applyFont="1">
      <alignment horizontal="center" shrinkToFit="1" vertical="center" wrapText="0"/>
    </xf>
    <xf borderId="47" fillId="0" fontId="1" numFmtId="0" xfId="0" applyAlignment="1" applyBorder="1" applyFont="1">
      <alignment horizontal="center" shrinkToFit="1" vertical="bottom" wrapText="0"/>
    </xf>
    <xf borderId="48" fillId="0" fontId="1" numFmtId="0" xfId="0" applyAlignment="1" applyBorder="1" applyFont="1">
      <alignment horizontal="center" shrinkToFit="1" vertical="bottom" wrapText="0"/>
    </xf>
    <xf borderId="47" fillId="0" fontId="1" numFmtId="0" xfId="0" applyAlignment="1" applyBorder="1" applyFont="1">
      <alignment horizontal="center" shrinkToFit="1" vertical="bottom" wrapText="0"/>
    </xf>
    <xf borderId="0" fillId="0" fontId="1" numFmtId="0" xfId="0" applyAlignment="1" applyFont="1">
      <alignment shrinkToFit="1" vertical="bottom" wrapText="0"/>
    </xf>
    <xf borderId="0" fillId="0" fontId="1" numFmtId="0" xfId="0" applyAlignment="1" applyFont="1">
      <alignment horizontal="center" shrinkToFit="1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1" vertical="bottom" wrapText="0"/>
    </xf>
    <xf borderId="49" fillId="0" fontId="1" numFmtId="0" xfId="0" applyAlignment="1" applyBorder="1" applyFont="1">
      <alignment shrinkToFit="0" vertical="bottom" wrapText="0"/>
    </xf>
    <xf borderId="50" fillId="0" fontId="1" numFmtId="0" xfId="0" applyAlignment="1" applyBorder="1" applyFont="1">
      <alignment shrinkToFit="1" vertical="bottom" wrapText="0"/>
    </xf>
    <xf borderId="51" fillId="0" fontId="1" numFmtId="0" xfId="0" applyAlignment="1" applyBorder="1" applyFont="1">
      <alignment horizontal="center" shrinkToFit="0" vertical="bottom" wrapText="0"/>
    </xf>
    <xf borderId="52" fillId="0" fontId="3" numFmtId="0" xfId="0" applyBorder="1" applyFont="1"/>
    <xf borderId="52" fillId="0" fontId="1" numFmtId="0" xfId="0" applyAlignment="1" applyBorder="1" applyFont="1">
      <alignment horizontal="center" shrinkToFit="0" vertical="bottom" wrapText="0"/>
    </xf>
    <xf borderId="53" fillId="0" fontId="1" numFmtId="0" xfId="0" applyAlignment="1" applyBorder="1" applyFont="1">
      <alignment horizontal="center" shrinkToFit="0" vertical="bottom" wrapText="0"/>
    </xf>
    <xf borderId="54" fillId="0" fontId="1" numFmtId="0" xfId="0" applyAlignment="1" applyBorder="1" applyFont="1">
      <alignment horizontal="center" shrinkToFit="0" vertical="bottom" wrapText="0"/>
    </xf>
    <xf borderId="52" fillId="0" fontId="1" numFmtId="0" xfId="0" applyAlignment="1" applyBorder="1" applyFont="1">
      <alignment horizontal="center" shrinkToFit="1" vertical="bottom" wrapText="0"/>
    </xf>
    <xf borderId="55" fillId="0" fontId="1" numFmtId="0" xfId="0" applyAlignment="1" applyBorder="1" applyFont="1">
      <alignment shrinkToFit="0" vertical="bottom" wrapText="0"/>
    </xf>
    <xf borderId="56" fillId="0" fontId="1" numFmtId="0" xfId="0" applyAlignment="1" applyBorder="1" applyFont="1">
      <alignment shrinkToFit="1" vertical="bottom" wrapText="0"/>
    </xf>
    <xf borderId="57" fillId="0" fontId="1" numFmtId="0" xfId="0" applyAlignment="1" applyBorder="1" applyFont="1">
      <alignment horizontal="center" shrinkToFit="0" vertical="bottom" wrapText="0"/>
    </xf>
    <xf borderId="58" fillId="0" fontId="1" numFmtId="0" xfId="0" applyAlignment="1" applyBorder="1" applyFont="1">
      <alignment horizontal="center" shrinkToFit="0" vertical="bottom" wrapText="0"/>
    </xf>
    <xf borderId="59" fillId="0" fontId="1" numFmtId="0" xfId="0" applyAlignment="1" applyBorder="1" applyFont="1">
      <alignment horizontal="center" shrinkToFit="0" vertical="bottom" wrapText="0"/>
    </xf>
    <xf borderId="60" fillId="0" fontId="1" numFmtId="0" xfId="0" applyAlignment="1" applyBorder="1" applyFont="1">
      <alignment horizontal="center" shrinkToFit="0" vertical="bottom" wrapText="0"/>
    </xf>
    <xf borderId="58" fillId="0" fontId="1" numFmtId="0" xfId="0" applyAlignment="1" applyBorder="1" applyFont="1">
      <alignment horizontal="center" shrinkToFit="1" vertical="bottom" wrapText="0"/>
    </xf>
    <xf borderId="49" fillId="0" fontId="1" numFmtId="0" xfId="0" applyAlignment="1" applyBorder="1" applyFont="1">
      <alignment horizontal="center" shrinkToFit="0" textRotation="255" vertical="top" wrapText="0"/>
    </xf>
    <xf borderId="61" fillId="0" fontId="1" numFmtId="0" xfId="0" applyAlignment="1" applyBorder="1" applyFont="1">
      <alignment horizontal="center" shrinkToFit="1" vertical="center" wrapText="0"/>
    </xf>
    <xf borderId="62" fillId="0" fontId="1" numFmtId="0" xfId="0" applyAlignment="1" applyBorder="1" applyFont="1">
      <alignment horizontal="center" shrinkToFit="0" vertical="bottom" wrapText="0"/>
    </xf>
    <xf borderId="63" fillId="0" fontId="1" numFmtId="0" xfId="0" applyAlignment="1" applyBorder="1" applyFont="1">
      <alignment horizontal="center" shrinkToFit="0" vertical="bottom" wrapText="0"/>
    </xf>
    <xf borderId="62" fillId="0" fontId="1" numFmtId="0" xfId="0" applyAlignment="1" applyBorder="1" applyFont="1">
      <alignment shrinkToFit="0" vertical="bottom" wrapText="0"/>
    </xf>
    <xf borderId="28" fillId="0" fontId="1" numFmtId="0" xfId="0" applyAlignment="1" applyBorder="1" applyFont="1">
      <alignment shrinkToFit="0" vertical="bottom" wrapText="0"/>
    </xf>
    <xf borderId="63" fillId="0" fontId="1" numFmtId="0" xfId="0" applyAlignment="1" applyBorder="1" applyFont="1">
      <alignment shrinkToFit="0" vertical="bottom" wrapText="0"/>
    </xf>
    <xf borderId="64" fillId="0" fontId="3" numFmtId="0" xfId="0" applyBorder="1" applyFont="1"/>
    <xf borderId="65" fillId="0" fontId="1" numFmtId="0" xfId="0" applyAlignment="1" applyBorder="1" applyFont="1">
      <alignment horizontal="center" shrinkToFit="1" vertical="center" wrapText="0"/>
    </xf>
    <xf borderId="46" fillId="0" fontId="1" numFmtId="0" xfId="0" applyAlignment="1" applyBorder="1" applyFont="1">
      <alignment horizontal="center" shrinkToFit="0" vertical="bottom" wrapText="0"/>
    </xf>
    <xf borderId="66" fillId="0" fontId="1" numFmtId="0" xfId="0" applyAlignment="1" applyBorder="1" applyFont="1">
      <alignment horizontal="center" shrinkToFit="0" vertical="bottom" wrapText="0"/>
    </xf>
    <xf borderId="67" fillId="0" fontId="1" numFmtId="0" xfId="0" applyAlignment="1" applyBorder="1" applyFont="1">
      <alignment horizontal="center" shrinkToFit="0" vertical="bottom" wrapText="0"/>
    </xf>
    <xf borderId="67" fillId="0" fontId="1" numFmtId="0" xfId="0" applyAlignment="1" applyBorder="1" applyFont="1">
      <alignment shrinkToFit="0" vertical="bottom" wrapText="0"/>
    </xf>
    <xf borderId="66" fillId="0" fontId="1" numFmtId="0" xfId="0" applyAlignment="1" applyBorder="1" applyFont="1">
      <alignment shrinkToFit="0" vertical="bottom" wrapText="0"/>
    </xf>
    <xf borderId="68" fillId="0" fontId="1" numFmtId="0" xfId="0" applyAlignment="1" applyBorder="1" applyFont="1">
      <alignment horizontal="center" shrinkToFit="0" vertical="bottom" wrapText="0"/>
    </xf>
    <xf borderId="16" fillId="0" fontId="1" numFmtId="0" xfId="0" applyAlignment="1" applyBorder="1" applyFont="1">
      <alignment shrinkToFit="0" vertical="bottom" wrapText="0"/>
    </xf>
    <xf borderId="68" fillId="0" fontId="1" numFmtId="0" xfId="0" applyAlignment="1" applyBorder="1" applyFont="1">
      <alignment horizontal="center" shrinkToFit="1" vertical="bottom" wrapText="0"/>
    </xf>
    <xf borderId="69" fillId="0" fontId="1" numFmtId="0" xfId="0" applyAlignment="1" applyBorder="1" applyFont="1">
      <alignment horizontal="center" shrinkToFit="0" vertical="bottom" wrapText="0"/>
    </xf>
    <xf borderId="44" fillId="0" fontId="1" numFmtId="0" xfId="0" applyAlignment="1" applyBorder="1" applyFont="1">
      <alignment horizontal="center" shrinkToFit="0" vertical="bottom" wrapText="0"/>
    </xf>
    <xf borderId="70" fillId="0" fontId="1" numFmtId="0" xfId="0" applyAlignment="1" applyBorder="1" applyFont="1">
      <alignment horizontal="center" shrinkToFit="0" vertical="bottom" wrapText="0"/>
    </xf>
    <xf borderId="13" fillId="0" fontId="1" numFmtId="0" xfId="0" applyAlignment="1" applyBorder="1" applyFont="1">
      <alignment horizontal="center" shrinkToFit="1" vertical="bottom" wrapText="0"/>
    </xf>
    <xf borderId="44" fillId="0" fontId="1" numFmtId="0" xfId="0" applyAlignment="1" applyBorder="1" applyFont="1">
      <alignment shrinkToFit="0" vertical="bottom" wrapText="0"/>
    </xf>
    <xf borderId="68" fillId="2" fontId="1" numFmtId="0" xfId="0" applyAlignment="1" applyBorder="1" applyFont="1">
      <alignment horizontal="center" shrinkToFit="1" vertical="center" wrapText="0"/>
    </xf>
    <xf borderId="71" fillId="2" fontId="1" numFmtId="0" xfId="0" applyAlignment="1" applyBorder="1" applyFont="1">
      <alignment horizontal="center" shrinkToFit="1" vertical="center" wrapText="0"/>
    </xf>
    <xf borderId="27" fillId="0" fontId="1" numFmtId="0" xfId="0" applyAlignment="1" applyBorder="1" applyFont="1">
      <alignment shrinkToFit="0" vertical="bottom" wrapText="0"/>
    </xf>
    <xf borderId="72" fillId="0" fontId="1" numFmtId="0" xfId="0" applyAlignment="1" applyBorder="1" applyFont="1">
      <alignment horizontal="center" shrinkToFit="0" vertical="bottom" wrapText="0"/>
    </xf>
    <xf borderId="73" fillId="2" fontId="1" numFmtId="0" xfId="0" applyAlignment="1" applyBorder="1" applyFont="1">
      <alignment horizontal="center" shrinkToFit="1" vertical="center" wrapText="0"/>
    </xf>
    <xf borderId="64" fillId="0" fontId="1" numFmtId="0" xfId="0" applyAlignment="1" applyBorder="1" applyFont="1">
      <alignment horizontal="center" shrinkToFit="0" textRotation="255" vertical="top" wrapText="0"/>
    </xf>
    <xf borderId="64" fillId="0" fontId="1" numFmtId="0" xfId="0" applyAlignment="1" applyBorder="1" applyFont="1">
      <alignment shrinkToFit="0" textRotation="255" vertical="top" wrapText="0"/>
    </xf>
    <xf borderId="74" fillId="0" fontId="1" numFmtId="0" xfId="0" applyAlignment="1" applyBorder="1" applyFont="1">
      <alignment horizontal="center" shrinkToFit="0" textRotation="255" vertical="top" wrapText="0"/>
    </xf>
    <xf borderId="75" fillId="0" fontId="1" numFmtId="0" xfId="0" applyAlignment="1" applyBorder="1" applyFont="1">
      <alignment horizontal="center" shrinkToFit="0" vertical="bottom" wrapText="0"/>
    </xf>
    <xf borderId="76" fillId="0" fontId="1" numFmtId="0" xfId="0" applyAlignment="1" applyBorder="1" applyFont="1">
      <alignment shrinkToFit="0" vertical="bottom" wrapText="0"/>
    </xf>
    <xf borderId="77" fillId="0" fontId="1" numFmtId="0" xfId="0" applyAlignment="1" applyBorder="1" applyFont="1">
      <alignment shrinkToFit="0" vertical="bottom" wrapText="0"/>
    </xf>
    <xf borderId="77" fillId="0" fontId="1" numFmtId="0" xfId="0" applyAlignment="1" applyBorder="1" applyFont="1">
      <alignment horizontal="center" shrinkToFit="0" vertical="bottom" wrapText="0"/>
    </xf>
    <xf borderId="78" fillId="0" fontId="1" numFmtId="0" xfId="0" applyAlignment="1" applyBorder="1" applyFont="1">
      <alignment horizontal="center" shrinkToFit="0" vertical="bottom" wrapText="0"/>
    </xf>
    <xf borderId="78" fillId="0" fontId="1" numFmtId="0" xfId="0" applyAlignment="1" applyBorder="1" applyFont="1">
      <alignment shrinkToFit="0" vertical="bottom" wrapText="0"/>
    </xf>
    <xf borderId="79" fillId="0" fontId="1" numFmtId="0" xfId="0" applyAlignment="1" applyBorder="1" applyFont="1">
      <alignment horizontal="center" shrinkToFit="0" vertical="bottom" wrapText="0"/>
    </xf>
    <xf borderId="74" fillId="0" fontId="1" numFmtId="0" xfId="0" applyAlignment="1" applyBorder="1" applyFont="1">
      <alignment shrinkToFit="0" textRotation="255" vertical="top" wrapText="0"/>
    </xf>
    <xf borderId="80" fillId="0" fontId="1" numFmtId="0" xfId="0" applyAlignment="1" applyBorder="1" applyFont="1">
      <alignment horizontal="center" shrinkToFit="0" vertical="bottom" wrapText="0"/>
    </xf>
    <xf borderId="81" fillId="0" fontId="1" numFmtId="0" xfId="0" applyAlignment="1" applyBorder="1" applyFont="1">
      <alignment horizontal="center" shrinkToFit="0" vertical="bottom" wrapText="0"/>
    </xf>
    <xf borderId="82" fillId="0" fontId="1" numFmtId="0" xfId="0" applyAlignment="1" applyBorder="1" applyFont="1">
      <alignment horizontal="center" shrinkToFit="0" vertical="bottom" wrapText="0"/>
    </xf>
    <xf borderId="83" fillId="0" fontId="1" numFmtId="0" xfId="0" applyAlignment="1" applyBorder="1" applyFont="1">
      <alignment horizontal="center" shrinkToFit="0" textRotation="255" vertical="top" wrapText="0"/>
    </xf>
    <xf borderId="65" fillId="0" fontId="1" numFmtId="0" xfId="0" applyAlignment="1" applyBorder="1" applyFont="1">
      <alignment horizontal="center" shrinkToFit="0" vertical="bottom" wrapText="0"/>
    </xf>
    <xf borderId="84" fillId="0" fontId="1" numFmtId="0" xfId="0" applyAlignment="1" applyBorder="1" applyFont="1">
      <alignment horizontal="center" shrinkToFit="0" vertical="bottom" wrapText="0"/>
    </xf>
    <xf borderId="33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85" fillId="0" fontId="1" numFmtId="0" xfId="0" applyAlignment="1" applyBorder="1" applyFont="1">
      <alignment shrinkToFit="0" vertical="bottom" wrapText="0"/>
    </xf>
    <xf borderId="68" fillId="0" fontId="1" numFmtId="0" xfId="0" applyAlignment="1" applyBorder="1" applyFont="1">
      <alignment shrinkToFit="1" vertical="bottom" wrapText="0"/>
    </xf>
    <xf borderId="69" fillId="0" fontId="1" numFmtId="0" xfId="0" applyAlignment="1" applyBorder="1" applyFont="1">
      <alignment shrinkToFit="0" vertical="bottom" wrapText="0"/>
    </xf>
    <xf borderId="68" fillId="0" fontId="1" numFmtId="0" xfId="0" applyAlignment="1" applyBorder="1" applyFont="1">
      <alignment horizontal="center" shrinkToFit="1" vertical="center" wrapText="0"/>
    </xf>
    <xf borderId="13" fillId="2" fontId="1" numFmtId="0" xfId="0" applyAlignment="1" applyBorder="1" applyFont="1">
      <alignment horizontal="center" shrinkToFit="1" vertical="center" wrapText="0"/>
    </xf>
    <xf borderId="86" fillId="0" fontId="1" numFmtId="0" xfId="0" applyAlignment="1" applyBorder="1" applyFont="1">
      <alignment shrinkToFit="1" vertical="bottom" wrapText="0"/>
    </xf>
    <xf borderId="80" fillId="0" fontId="1" numFmtId="0" xfId="0" applyAlignment="1" applyBorder="1" applyFont="1">
      <alignment shrinkToFit="1" vertical="bottom" wrapText="0"/>
    </xf>
    <xf borderId="87" fillId="0" fontId="1" numFmtId="0" xfId="0" applyAlignment="1" applyBorder="1" applyFont="1">
      <alignment horizontal="center" shrinkToFit="0" vertical="bottom" wrapText="0"/>
    </xf>
    <xf borderId="39" fillId="0" fontId="1" numFmtId="0" xfId="0" applyAlignment="1" applyBorder="1" applyFont="1">
      <alignment horizontal="center" shrinkToFit="0" vertical="bottom" wrapText="0"/>
    </xf>
    <xf borderId="88" fillId="4" fontId="1" numFmtId="0" xfId="0" applyAlignment="1" applyBorder="1" applyFill="1" applyFont="1">
      <alignment horizontal="center" shrinkToFit="0" vertical="bottom" wrapText="0"/>
    </xf>
    <xf borderId="89" fillId="0" fontId="1" numFmtId="0" xfId="0" applyAlignment="1" applyBorder="1" applyFont="1">
      <alignment shrinkToFit="0" vertical="bottom" wrapText="0"/>
    </xf>
    <xf borderId="90" fillId="4" fontId="1" numFmtId="0" xfId="0" applyAlignment="1" applyBorder="1" applyFont="1">
      <alignment horizontal="center" shrinkToFit="0" vertical="bottom" wrapText="0"/>
    </xf>
    <xf borderId="17" fillId="4" fontId="1" numFmtId="0" xfId="0" applyAlignment="1" applyBorder="1" applyFont="1">
      <alignment horizontal="center" shrinkToFit="0" vertical="bottom" wrapText="0"/>
    </xf>
    <xf borderId="86" fillId="0" fontId="1" numFmtId="0" xfId="0" applyAlignment="1" applyBorder="1" applyFont="1">
      <alignment horizontal="center" shrinkToFit="0" vertical="bottom" wrapText="0"/>
    </xf>
    <xf borderId="82" fillId="0" fontId="1" numFmtId="0" xfId="0" applyAlignment="1" applyBorder="1" applyFont="1">
      <alignment shrinkToFit="0" vertical="bottom" wrapText="0"/>
    </xf>
    <xf borderId="65" fillId="0" fontId="1" numFmtId="0" xfId="0" applyAlignment="1" applyBorder="1" applyFont="1">
      <alignment horizontal="center" shrinkToFit="1" vertical="bottom" wrapText="0"/>
    </xf>
    <xf borderId="46" fillId="0" fontId="1" numFmtId="0" xfId="0" applyAlignment="1" applyBorder="1" applyFont="1">
      <alignment shrinkToFit="0" vertical="bottom" wrapText="0"/>
    </xf>
    <xf borderId="74" fillId="0" fontId="1" numFmtId="0" xfId="0" applyAlignment="1" applyBorder="1" applyFont="1">
      <alignment shrinkToFit="0" vertical="bottom" wrapText="0"/>
    </xf>
    <xf borderId="76" fillId="0" fontId="1" numFmtId="0" xfId="0" applyAlignment="1" applyBorder="1" applyFont="1">
      <alignment horizontal="center" shrinkToFit="0" vertical="bottom" wrapText="0"/>
    </xf>
    <xf borderId="91" fillId="4" fontId="1" numFmtId="0" xfId="0" applyAlignment="1" applyBorder="1" applyFont="1">
      <alignment horizontal="center" shrinkToFit="0" vertical="bottom" wrapText="0"/>
    </xf>
    <xf borderId="92" fillId="4" fontId="1" numFmtId="0" xfId="0" applyAlignment="1" applyBorder="1" applyFont="1">
      <alignment horizontal="center" shrinkToFit="0" vertical="bottom" wrapText="0"/>
    </xf>
    <xf borderId="93" fillId="0" fontId="1" numFmtId="0" xfId="0" applyAlignment="1" applyBorder="1" applyFont="1">
      <alignment horizontal="center" shrinkToFit="0" vertical="bottom" wrapText="0"/>
    </xf>
    <xf borderId="94" fillId="2" fontId="1" numFmtId="0" xfId="0" applyAlignment="1" applyBorder="1" applyFont="1">
      <alignment horizontal="center" shrinkToFit="1" vertical="center" wrapText="0"/>
    </xf>
    <xf borderId="95" fillId="0" fontId="1" numFmtId="0" xfId="0" applyAlignment="1" applyBorder="1" applyFont="1">
      <alignment horizontal="center" shrinkToFit="1" vertical="bottom" wrapText="0"/>
    </xf>
    <xf borderId="64" fillId="0" fontId="1" numFmtId="0" xfId="0" applyAlignment="1" applyBorder="1" applyFont="1">
      <alignment shrinkToFit="0" vertical="bottom" wrapText="0"/>
    </xf>
    <xf borderId="36" fillId="0" fontId="1" numFmtId="0" xfId="0" applyAlignment="1" applyBorder="1" applyFont="1">
      <alignment horizontal="center" shrinkToFit="0" vertical="bottom" wrapText="0"/>
    </xf>
    <xf borderId="96" fillId="2" fontId="1" numFmtId="0" xfId="0" applyAlignment="1" applyBorder="1" applyFont="1">
      <alignment horizontal="center" shrinkToFit="1" vertical="center" wrapText="0"/>
    </xf>
    <xf borderId="27" fillId="0" fontId="1" numFmtId="0" xfId="0" applyAlignment="1" applyBorder="1" applyFont="1">
      <alignment horizontal="center" shrinkToFit="1" vertical="center" wrapText="0"/>
    </xf>
    <xf borderId="97" fillId="2" fontId="1" numFmtId="0" xfId="0" applyAlignment="1" applyBorder="1" applyFont="1">
      <alignment horizontal="center" shrinkToFit="1" vertical="center" wrapText="0"/>
    </xf>
    <xf borderId="15" fillId="0" fontId="1" numFmtId="0" xfId="0" applyAlignment="1" applyBorder="1" applyFont="1">
      <alignment horizontal="center" shrinkToFit="1" vertical="bottom" wrapText="0"/>
    </xf>
    <xf borderId="27" fillId="0" fontId="1" numFmtId="0" xfId="0" applyAlignment="1" applyBorder="1" applyFont="1">
      <alignment horizontal="center" shrinkToFit="1" vertical="bottom" wrapText="0"/>
    </xf>
    <xf borderId="38" fillId="0" fontId="1" numFmtId="0" xfId="0" applyAlignment="1" applyBorder="1" applyFont="1">
      <alignment shrinkToFit="0" vertical="bottom" wrapText="0"/>
    </xf>
    <xf borderId="98" fillId="0" fontId="1" numFmtId="0" xfId="0" applyAlignment="1" applyBorder="1" applyFont="1">
      <alignment shrinkToFit="1" textRotation="255" vertical="top" wrapText="0"/>
    </xf>
    <xf borderId="99" fillId="0" fontId="1" numFmtId="0" xfId="0" applyAlignment="1" applyBorder="1" applyFont="1">
      <alignment horizontal="center" shrinkToFit="0" vertical="bottom" wrapText="0"/>
    </xf>
    <xf borderId="100" fillId="0" fontId="1" numFmtId="0" xfId="0" applyAlignment="1" applyBorder="1" applyFont="1">
      <alignment horizontal="center" shrinkToFit="0" vertical="bottom" wrapText="0"/>
    </xf>
    <xf borderId="101" fillId="0" fontId="1" numFmtId="0" xfId="0" applyAlignment="1" applyBorder="1" applyFont="1">
      <alignment horizontal="center" shrinkToFit="0" vertical="bottom" wrapText="0"/>
    </xf>
    <xf borderId="55" fillId="0" fontId="1" numFmtId="0" xfId="0" applyAlignment="1" applyBorder="1" applyFont="1">
      <alignment shrinkToFit="0" vertical="center" wrapText="0"/>
    </xf>
    <xf borderId="102" fillId="0" fontId="1" numFmtId="0" xfId="0" applyAlignment="1" applyBorder="1" applyFont="1">
      <alignment horizontal="center" shrinkToFit="1" textRotation="255" vertical="top" wrapText="0"/>
    </xf>
    <xf borderId="100" fillId="0" fontId="6" numFmtId="0" xfId="0" applyAlignment="1" applyBorder="1" applyFont="1">
      <alignment shrinkToFit="0" vertical="bottom" wrapText="0"/>
    </xf>
    <xf borderId="99" fillId="0" fontId="6" numFmtId="0" xfId="0" applyAlignment="1" applyBorder="1" applyFont="1">
      <alignment shrinkToFit="0" vertical="bottom" wrapText="0"/>
    </xf>
    <xf borderId="99" fillId="0" fontId="7" numFmtId="0" xfId="0" applyAlignment="1" applyBorder="1" applyFont="1">
      <alignment shrinkToFit="0" vertical="bottom" wrapText="0"/>
    </xf>
    <xf borderId="99" fillId="0" fontId="6" numFmtId="0" xfId="0" applyAlignment="1" applyBorder="1" applyFont="1">
      <alignment horizontal="center" shrinkToFit="0" vertical="bottom" wrapText="0"/>
    </xf>
    <xf borderId="55" fillId="0" fontId="3" numFmtId="0" xfId="0" applyBorder="1" applyFont="1"/>
    <xf borderId="99" fillId="0" fontId="1" numFmtId="0" xfId="0" applyAlignment="1" applyBorder="1" applyFont="1">
      <alignment horizontal="center" shrinkToFit="1" vertical="bottom" wrapText="0"/>
    </xf>
    <xf borderId="100" fillId="0" fontId="1" numFmtId="0" xfId="0" applyAlignment="1" applyBorder="1" applyFont="1">
      <alignment shrinkToFit="0" vertical="bottom" wrapText="0"/>
    </xf>
    <xf borderId="99" fillId="0" fontId="1" numFmtId="0" xfId="0" applyAlignment="1" applyBorder="1" applyFont="1">
      <alignment shrinkToFit="0" vertical="bottom" wrapText="0"/>
    </xf>
    <xf borderId="103" fillId="0" fontId="1" numFmtId="0" xfId="0" applyAlignment="1" applyBorder="1" applyFont="1">
      <alignment shrinkToFit="0" vertical="bottom" wrapText="0"/>
    </xf>
    <xf borderId="101" fillId="0" fontId="1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center" wrapText="0"/>
    </xf>
    <xf borderId="104" fillId="0" fontId="1" numFmtId="0" xfId="0" applyAlignment="1" applyBorder="1" applyFont="1">
      <alignment horizontal="center" shrinkToFit="0" vertical="bottom" wrapText="0"/>
    </xf>
    <xf borderId="105" fillId="0" fontId="2" numFmtId="0" xfId="0" applyAlignment="1" applyBorder="1" applyFont="1">
      <alignment horizontal="center" shrinkToFit="0" vertical="center" wrapText="0"/>
    </xf>
    <xf borderId="106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07" fillId="0" fontId="2" numFmtId="9" xfId="0" applyAlignment="1" applyBorder="1" applyFont="1" applyNumberFormat="1">
      <alignment shrinkToFit="0" vertical="center" wrapText="0"/>
    </xf>
    <xf borderId="68" fillId="2" fontId="1" numFmtId="0" xfId="0" applyAlignment="1" applyBorder="1" applyFont="1">
      <alignment horizontal="center" shrinkToFit="1" vertical="bottom" wrapText="0"/>
    </xf>
    <xf borderId="52" fillId="0" fontId="5" numFmtId="0" xfId="0" applyAlignment="1" applyBorder="1" applyFont="1">
      <alignment horizontal="center" shrinkToFit="0" vertical="bottom" wrapText="0"/>
    </xf>
    <xf borderId="52" fillId="0" fontId="2" numFmtId="0" xfId="0" applyAlignment="1" applyBorder="1" applyFont="1">
      <alignment horizontal="center" shrinkToFit="0" vertical="bottom" wrapText="0"/>
    </xf>
    <xf borderId="52" fillId="0" fontId="2" numFmtId="0" xfId="0" applyAlignment="1" applyBorder="1" applyFont="1">
      <alignment shrinkToFit="0" vertical="bottom" wrapText="0"/>
    </xf>
    <xf borderId="58" fillId="0" fontId="5" numFmtId="0" xfId="0" applyAlignment="1" applyBorder="1" applyFont="1">
      <alignment horizontal="center" shrinkToFit="0" vertical="bottom" wrapText="0"/>
    </xf>
    <xf borderId="58" fillId="0" fontId="2" numFmtId="0" xfId="0" applyAlignment="1" applyBorder="1" applyFont="1">
      <alignment horizontal="center" shrinkToFit="0" vertical="bottom" wrapText="0"/>
    </xf>
    <xf borderId="58" fillId="0" fontId="2" numFmtId="0" xfId="0" applyAlignment="1" applyBorder="1" applyFont="1">
      <alignment shrinkToFit="0" vertical="bottom" wrapText="0"/>
    </xf>
    <xf borderId="93" fillId="0" fontId="5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center" wrapText="0"/>
    </xf>
    <xf borderId="108" fillId="0" fontId="2" numFmtId="0" xfId="0" applyAlignment="1" applyBorder="1" applyFont="1">
      <alignment horizontal="center" shrinkToFit="0" vertical="center" wrapText="0"/>
    </xf>
    <xf borderId="109" fillId="0" fontId="1" numFmtId="0" xfId="0" applyAlignment="1" applyBorder="1" applyFont="1">
      <alignment horizontal="center" shrinkToFit="0" vertical="bottom" wrapText="0"/>
    </xf>
    <xf borderId="109" fillId="0" fontId="5" numFmtId="0" xfId="0" applyAlignment="1" applyBorder="1" applyFont="1">
      <alignment horizontal="center" shrinkToFit="0" vertical="bottom" wrapText="0"/>
    </xf>
    <xf borderId="107" fillId="0" fontId="2" numFmtId="0" xfId="0" applyAlignment="1" applyBorder="1" applyFont="1">
      <alignment shrinkToFit="0" vertical="center" wrapText="0"/>
    </xf>
    <xf borderId="110" fillId="0" fontId="5" numFmtId="0" xfId="0" applyAlignment="1" applyBorder="1" applyFont="1">
      <alignment horizontal="center" shrinkToFit="0" vertical="bottom" wrapText="0"/>
    </xf>
    <xf borderId="111" fillId="0" fontId="2" numFmtId="0" xfId="0" applyAlignment="1" applyBorder="1" applyFont="1">
      <alignment horizontal="center" shrinkToFit="0" vertical="center" wrapText="0"/>
    </xf>
    <xf borderId="112" fillId="0" fontId="2" numFmtId="0" xfId="0" applyAlignment="1" applyBorder="1" applyFont="1">
      <alignment shrinkToFit="0" vertical="center" wrapText="0"/>
    </xf>
    <xf borderId="113" fillId="0" fontId="10" numFmtId="0" xfId="0" applyAlignment="1" applyBorder="1" applyFont="1">
      <alignment horizontal="center" shrinkToFit="0" vertical="bottom" wrapText="0"/>
    </xf>
    <xf borderId="114" fillId="0" fontId="1" numFmtId="0" xfId="0" applyAlignment="1" applyBorder="1" applyFont="1">
      <alignment shrinkToFit="0" vertical="bottom" wrapText="0"/>
    </xf>
    <xf borderId="114" fillId="0" fontId="1" numFmtId="0" xfId="0" applyAlignment="1" applyBorder="1" applyFont="1">
      <alignment horizontal="center" shrinkToFit="0" vertical="bottom" wrapText="0"/>
    </xf>
    <xf borderId="115" fillId="0" fontId="1" numFmtId="0" xfId="0" applyAlignment="1" applyBorder="1" applyFont="1">
      <alignment horizontal="center" shrinkToFit="0" vertical="bottom" wrapText="0"/>
    </xf>
    <xf borderId="113" fillId="0" fontId="1" numFmtId="0" xfId="0" applyAlignment="1" applyBorder="1" applyFont="1">
      <alignment shrinkToFit="0" vertical="bottom" wrapText="0"/>
    </xf>
    <xf borderId="116" fillId="2" fontId="1" numFmtId="0" xfId="0" applyAlignment="1" applyBorder="1" applyFont="1">
      <alignment horizontal="center" shrinkToFit="1" textRotation="255" vertical="top" wrapText="0"/>
    </xf>
    <xf borderId="30" fillId="0" fontId="1" numFmtId="171" xfId="0" applyAlignment="1" applyBorder="1" applyFont="1" applyNumberFormat="1">
      <alignment horizontal="center" shrinkToFit="0" vertical="bottom" wrapText="0"/>
    </xf>
    <xf borderId="117" fillId="0" fontId="1" numFmtId="172" xfId="0" applyAlignment="1" applyBorder="1" applyFont="1" applyNumberFormat="1">
      <alignment horizontal="center" shrinkToFit="0" vertical="bottom" wrapText="0"/>
    </xf>
    <xf borderId="116" fillId="2" fontId="1" numFmtId="0" xfId="0" applyAlignment="1" applyBorder="1" applyFont="1">
      <alignment horizontal="center" shrinkToFit="0" textRotation="255" vertical="top" wrapText="0"/>
    </xf>
    <xf borderId="13" fillId="0" fontId="1" numFmtId="171" xfId="0" applyAlignment="1" applyBorder="1" applyFont="1" applyNumberFormat="1">
      <alignment horizontal="center" shrinkToFit="0" vertical="bottom" wrapText="0"/>
    </xf>
    <xf borderId="118" fillId="0" fontId="3" numFmtId="0" xfId="0" applyBorder="1" applyFont="1"/>
    <xf borderId="119" fillId="0" fontId="1" numFmtId="172" xfId="0" applyAlignment="1" applyBorder="1" applyFont="1" applyNumberFormat="1">
      <alignment horizontal="center" shrinkToFit="0" vertical="bottom" wrapText="0"/>
    </xf>
    <xf borderId="13" fillId="0" fontId="1" numFmtId="167" xfId="0" applyAlignment="1" applyBorder="1" applyFont="1" applyNumberFormat="1">
      <alignment horizontal="center" shrinkToFit="0" vertical="bottom" wrapText="0"/>
    </xf>
    <xf borderId="119" fillId="0" fontId="1" numFmtId="167" xfId="0" applyAlignment="1" applyBorder="1" applyFont="1" applyNumberFormat="1">
      <alignment horizontal="center" shrinkToFit="0" vertical="bottom" wrapText="0"/>
    </xf>
    <xf borderId="120" fillId="0" fontId="3" numFmtId="0" xfId="0" applyBorder="1" applyFont="1"/>
    <xf borderId="65" fillId="0" fontId="1" numFmtId="0" xfId="0" applyAlignment="1" applyBorder="1" applyFont="1">
      <alignment shrinkToFit="0" textRotation="255" vertical="top" wrapText="0"/>
    </xf>
    <xf borderId="13" fillId="0" fontId="1" numFmtId="172" xfId="0" applyAlignment="1" applyBorder="1" applyFont="1" applyNumberFormat="1">
      <alignment horizontal="center" shrinkToFit="0" vertical="bottom" wrapText="0"/>
    </xf>
    <xf borderId="119" fillId="0" fontId="1" numFmtId="173" xfId="0" applyAlignment="1" applyBorder="1" applyFont="1" applyNumberFormat="1">
      <alignment horizontal="center" shrinkToFit="0" vertical="bottom" wrapText="0"/>
    </xf>
    <xf borderId="118" fillId="0" fontId="1" numFmtId="0" xfId="0" applyAlignment="1" applyBorder="1" applyFont="1">
      <alignment shrinkToFit="0" textRotation="255" vertical="top" wrapText="0"/>
    </xf>
    <xf borderId="43" fillId="2" fontId="1" numFmtId="0" xfId="0" applyAlignment="1" applyBorder="1" applyFont="1">
      <alignment horizontal="center" shrinkToFit="1" vertical="center" wrapText="0"/>
    </xf>
    <xf borderId="29" fillId="0" fontId="1" numFmtId="173" xfId="0" applyAlignment="1" applyBorder="1" applyFont="1" applyNumberFormat="1">
      <alignment horizontal="center" shrinkToFit="0" vertical="bottom" wrapText="0"/>
    </xf>
    <xf borderId="29" fillId="0" fontId="1" numFmtId="167" xfId="0" applyAlignment="1" applyBorder="1" applyFont="1" applyNumberFormat="1">
      <alignment horizontal="center" shrinkToFit="0" vertical="bottom" wrapText="0"/>
    </xf>
    <xf borderId="16" fillId="0" fontId="8" numFmtId="0" xfId="0" applyAlignment="1" applyBorder="1" applyFont="1">
      <alignment horizontal="center" shrinkToFit="0" vertical="bottom" wrapText="0"/>
    </xf>
    <xf borderId="13" fillId="0" fontId="1" numFmtId="173" xfId="0" applyAlignment="1" applyBorder="1" applyFont="1" applyNumberFormat="1">
      <alignment horizontal="center" shrinkToFit="0" vertical="bottom" wrapText="0"/>
    </xf>
    <xf borderId="119" fillId="0" fontId="1" numFmtId="0" xfId="0" applyAlignment="1" applyBorder="1" applyFont="1">
      <alignment horizontal="center" shrinkToFit="0" vertical="bottom" wrapText="0"/>
    </xf>
    <xf borderId="93" fillId="0" fontId="1" numFmtId="0" xfId="0" applyAlignment="1" applyBorder="1" applyFont="1">
      <alignment shrinkToFit="0" textRotation="255" vertical="top" wrapText="0"/>
    </xf>
    <xf borderId="87" fillId="0" fontId="1" numFmtId="0" xfId="0" applyAlignment="1" applyBorder="1" applyFont="1">
      <alignment horizontal="center" shrinkToFit="1" vertical="bottom" wrapText="0"/>
    </xf>
    <xf borderId="75" fillId="0" fontId="1" numFmtId="167" xfId="0" applyAlignment="1" applyBorder="1" applyFont="1" applyNumberFormat="1">
      <alignment horizontal="center" shrinkToFit="0" vertical="bottom" wrapText="0"/>
    </xf>
    <xf borderId="121" fillId="0" fontId="1" numFmtId="169" xfId="0" applyAlignment="1" applyBorder="1" applyFont="1" applyNumberFormat="1">
      <alignment horizontal="center" shrinkToFit="0" vertical="bottom" wrapText="0"/>
    </xf>
    <xf borderId="75" fillId="0" fontId="1" numFmtId="171" xfId="0" applyAlignment="1" applyBorder="1" applyFont="1" applyNumberFormat="1">
      <alignment horizontal="center" shrinkToFit="0" vertical="bottom" wrapText="0"/>
    </xf>
    <xf borderId="121" fillId="0" fontId="1" numFmtId="172" xfId="0" applyAlignment="1" applyBorder="1" applyFont="1" applyNumberFormat="1">
      <alignment horizontal="center" shrinkToFit="0" vertical="bottom" wrapText="0"/>
    </xf>
    <xf borderId="122" fillId="0" fontId="1" numFmtId="0" xfId="0" applyAlignment="1" applyBorder="1" applyFont="1">
      <alignment horizontal="center" shrinkToFit="0" vertical="bottom" wrapText="0"/>
    </xf>
    <xf borderId="123" fillId="2" fontId="1" numFmtId="0" xfId="0" applyAlignment="1" applyBorder="1" applyFont="1">
      <alignment horizontal="center" shrinkToFit="1" textRotation="255" vertical="top" wrapText="0"/>
    </xf>
    <xf borderId="29" fillId="0" fontId="1" numFmtId="171" xfId="0" applyAlignment="1" applyBorder="1" applyFont="1" applyNumberFormat="1">
      <alignment horizontal="center" shrinkToFit="0" vertical="bottom" wrapText="0"/>
    </xf>
    <xf borderId="124" fillId="0" fontId="1" numFmtId="172" xfId="0" applyAlignment="1" applyBorder="1" applyFont="1" applyNumberFormat="1">
      <alignment horizontal="center" shrinkToFit="0" vertical="bottom" wrapText="0"/>
    </xf>
    <xf borderId="125" fillId="0" fontId="1" numFmtId="0" xfId="0" applyAlignment="1" applyBorder="1" applyFont="1">
      <alignment horizontal="center" shrinkToFit="0" textRotation="255" vertical="top" wrapText="0"/>
    </xf>
    <xf borderId="96" fillId="2" fontId="1" numFmtId="0" xfId="0" applyAlignment="1" applyBorder="1" applyFont="1">
      <alignment horizontal="center" shrinkToFit="1" textRotation="255" vertical="top" wrapText="0"/>
    </xf>
    <xf borderId="69" fillId="0" fontId="1" numFmtId="171" xfId="0" applyAlignment="1" applyBorder="1" applyFont="1" applyNumberFormat="1">
      <alignment horizontal="center" shrinkToFit="0" vertical="bottom" wrapText="0"/>
    </xf>
    <xf borderId="69" fillId="0" fontId="1" numFmtId="172" xfId="0" applyAlignment="1" applyBorder="1" applyFont="1" applyNumberFormat="1">
      <alignment horizontal="center" shrinkToFit="0" vertical="bottom" wrapText="0"/>
    </xf>
    <xf borderId="36" fillId="0" fontId="1" numFmtId="171" xfId="0" applyAlignment="1" applyBorder="1" applyFont="1" applyNumberFormat="1">
      <alignment horizontal="center" shrinkToFit="0" vertical="bottom" wrapText="0"/>
    </xf>
    <xf borderId="89" fillId="0" fontId="1" numFmtId="171" xfId="0" applyAlignment="1" applyBorder="1" applyFont="1" applyNumberFormat="1">
      <alignment horizontal="center" shrinkToFit="0" vertical="bottom" wrapText="0"/>
    </xf>
    <xf borderId="126" fillId="0" fontId="1" numFmtId="172" xfId="0" applyAlignment="1" applyBorder="1" applyFont="1" applyNumberFormat="1">
      <alignment horizontal="center" shrinkToFit="0" vertical="bottom" wrapText="0"/>
    </xf>
    <xf borderId="68" fillId="2" fontId="1" numFmtId="0" xfId="0" applyAlignment="1" applyBorder="1" applyFont="1">
      <alignment horizontal="center" shrinkToFit="1" textRotation="255" vertical="top" wrapText="0"/>
    </xf>
    <xf borderId="67" fillId="0" fontId="1" numFmtId="171" xfId="0" applyAlignment="1" applyBorder="1" applyFont="1" applyNumberFormat="1">
      <alignment horizontal="center" shrinkToFit="0" vertical="bottom" wrapText="0"/>
    </xf>
    <xf borderId="67" fillId="0" fontId="1" numFmtId="172" xfId="0" applyAlignment="1" applyBorder="1" applyFont="1" applyNumberFormat="1">
      <alignment horizontal="center" shrinkToFit="0" vertical="bottom" wrapText="0"/>
    </xf>
    <xf borderId="80" fillId="2" fontId="1" numFmtId="0" xfId="0" applyAlignment="1" applyBorder="1" applyFont="1">
      <alignment horizontal="center" shrinkToFit="1" textRotation="255" vertical="top" wrapText="0"/>
    </xf>
    <xf borderId="76" fillId="0" fontId="1" numFmtId="171" xfId="0" applyAlignment="1" applyBorder="1" applyFont="1" applyNumberFormat="1">
      <alignment horizontal="center" shrinkToFit="0" vertical="bottom" wrapText="0"/>
    </xf>
    <xf borderId="76" fillId="0" fontId="1" numFmtId="172" xfId="0" applyAlignment="1" applyBorder="1" applyFont="1" applyNumberFormat="1">
      <alignment horizontal="center" shrinkToFit="0" vertical="bottom" wrapText="0"/>
    </xf>
    <xf borderId="29" fillId="0" fontId="1" numFmtId="172" xfId="0" applyAlignment="1" applyBorder="1" applyFont="1" applyNumberFormat="1">
      <alignment horizontal="center" shrinkToFit="0" vertical="bottom" wrapText="0"/>
    </xf>
    <xf borderId="20" fillId="2" fontId="1" numFmtId="0" xfId="0" applyAlignment="1" applyBorder="1" applyFont="1">
      <alignment horizontal="center" shrinkToFit="1" vertical="center" wrapText="0"/>
    </xf>
    <xf borderId="118" fillId="0" fontId="1" numFmtId="0" xfId="0" applyAlignment="1" applyBorder="1" applyFont="1">
      <alignment shrinkToFit="1" textRotation="255" vertical="top" wrapText="0"/>
    </xf>
    <xf borderId="93" fillId="0" fontId="1" numFmtId="0" xfId="0" applyAlignment="1" applyBorder="1" applyFont="1">
      <alignment shrinkToFit="1" textRotation="255" vertical="top" wrapText="0"/>
    </xf>
    <xf borderId="127" fillId="0" fontId="1" numFmtId="0" xfId="0" applyAlignment="1" applyBorder="1" applyFont="1">
      <alignment shrinkToFit="0" vertical="bottom" wrapText="0"/>
    </xf>
    <xf borderId="125" fillId="0" fontId="1" numFmtId="0" xfId="0" applyAlignment="1" applyBorder="1" applyFont="1">
      <alignment horizontal="center" shrinkToFit="1" textRotation="255" vertical="top" wrapText="0"/>
    </xf>
    <xf borderId="125" fillId="0" fontId="1" numFmtId="0" xfId="0" applyAlignment="1" applyBorder="1" applyFont="1">
      <alignment shrinkToFit="0" vertical="bottom" wrapText="0"/>
    </xf>
    <xf borderId="13" fillId="0" fontId="1" numFmtId="168" xfId="0" applyAlignment="1" applyBorder="1" applyFont="1" applyNumberFormat="1">
      <alignment horizontal="center" shrinkToFit="0" vertical="bottom" wrapText="0"/>
    </xf>
    <xf borderId="13" fillId="0" fontId="1" numFmtId="170" xfId="0" applyAlignment="1" applyBorder="1" applyFont="1" applyNumberFormat="1">
      <alignment horizontal="center" shrinkToFit="0" vertical="bottom" wrapText="0"/>
    </xf>
    <xf borderId="118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horizontal="center" shrinkToFit="1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123" fillId="2" fontId="1" numFmtId="0" xfId="0" applyAlignment="1" applyBorder="1" applyFont="1">
      <alignment horizontal="center" shrinkToFit="0" textRotation="255" vertical="top" wrapText="0"/>
    </xf>
    <xf borderId="66" fillId="0" fontId="1" numFmtId="168" xfId="0" applyAlignment="1" applyBorder="1" applyFont="1" applyNumberFormat="1">
      <alignment horizontal="center" shrinkToFit="0" vertical="bottom" wrapText="0"/>
    </xf>
    <xf borderId="67" fillId="0" fontId="1" numFmtId="0" xfId="0" applyAlignment="1" applyBorder="1" applyFont="1">
      <alignment horizontal="center" shrinkToFit="1" vertical="center" wrapText="0"/>
    </xf>
    <xf borderId="119" fillId="0" fontId="1" numFmtId="0" xfId="0" applyAlignment="1" applyBorder="1" applyFont="1">
      <alignment horizontal="center" shrinkToFit="1" vertical="center" wrapText="0"/>
    </xf>
    <xf borderId="38" fillId="0" fontId="1" numFmtId="0" xfId="0" applyAlignment="1" applyBorder="1" applyFont="1">
      <alignment horizontal="center" shrinkToFit="1" vertical="center" wrapText="0"/>
    </xf>
    <xf borderId="36" fillId="0" fontId="1" numFmtId="169" xfId="0" applyAlignment="1" applyBorder="1" applyFont="1" applyNumberFormat="1">
      <alignment horizontal="center" shrinkToFit="0" vertical="bottom" wrapText="0"/>
    </xf>
    <xf borderId="38" fillId="0" fontId="1" numFmtId="0" xfId="0" applyAlignment="1" applyBorder="1" applyFont="1">
      <alignment horizontal="center" shrinkToFit="1" vertical="bottom" wrapText="0"/>
    </xf>
    <xf borderId="13" fillId="0" fontId="1" numFmtId="174" xfId="0" applyAlignment="1" applyBorder="1" applyFont="1" applyNumberFormat="1">
      <alignment horizontal="center" shrinkToFit="0" vertical="bottom" wrapText="0"/>
    </xf>
    <xf borderId="69" fillId="0" fontId="1" numFmtId="0" xfId="0" applyAlignment="1" applyBorder="1" applyFont="1">
      <alignment horizontal="center" shrinkToFit="1" vertical="center" wrapText="0"/>
    </xf>
    <xf borderId="122" fillId="0" fontId="1" numFmtId="0" xfId="0" applyAlignment="1" applyBorder="1" applyFont="1">
      <alignment horizontal="center" shrinkToFit="1" vertical="center" wrapText="0"/>
    </xf>
    <xf borderId="118" fillId="0" fontId="1" numFmtId="0" xfId="0" applyAlignment="1" applyBorder="1" applyFont="1">
      <alignment shrinkToFit="1" textRotation="255" vertical="bottom" wrapText="0"/>
    </xf>
    <xf borderId="128" fillId="0" fontId="3" numFmtId="0" xfId="0" applyBorder="1" applyFont="1"/>
    <xf borderId="129" fillId="0" fontId="1" numFmtId="0" xfId="0" applyAlignment="1" applyBorder="1" applyFont="1">
      <alignment horizontal="center" shrinkToFit="0" vertical="bottom" wrapText="0"/>
    </xf>
    <xf borderId="128" fillId="0" fontId="1" numFmtId="0" xfId="0" applyAlignment="1" applyBorder="1" applyFont="1">
      <alignment shrinkToFit="1" textRotation="255" vertical="bottom" wrapText="0"/>
    </xf>
    <xf borderId="103" fillId="0" fontId="1" numFmtId="0" xfId="0" applyAlignment="1" applyBorder="1" applyFont="1">
      <alignment horizontal="center" shrinkToFit="1" textRotation="255" vertical="top" wrapText="0"/>
    </xf>
    <xf borderId="130" fillId="2" fontId="1" numFmtId="0" xfId="0" applyAlignment="1" applyBorder="1" applyFont="1">
      <alignment horizontal="center" shrinkToFit="1" vertical="center" wrapText="0"/>
    </xf>
    <xf borderId="131" fillId="2" fontId="1" numFmtId="0" xfId="0" applyAlignment="1" applyBorder="1" applyFont="1">
      <alignment horizontal="center" shrinkToFit="1" vertical="center" wrapText="0"/>
    </xf>
    <xf borderId="129" fillId="2" fontId="1" numFmtId="0" xfId="0" applyAlignment="1" applyBorder="1" applyFont="1">
      <alignment horizontal="center" shrinkToFit="1" vertical="center" wrapText="0"/>
    </xf>
    <xf borderId="128" fillId="0" fontId="1" numFmtId="0" xfId="0" applyAlignment="1" applyBorder="1" applyFont="1">
      <alignment shrinkToFit="0" vertical="bottom" wrapText="0"/>
    </xf>
    <xf borderId="103" fillId="0" fontId="1" numFmtId="0" xfId="0" applyAlignment="1" applyBorder="1" applyFont="1">
      <alignment horizontal="center" shrinkToFit="1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6.71"/>
    <col customWidth="1" min="2" max="2" width="13.57"/>
    <col customWidth="1" min="3" max="10" width="9.0"/>
    <col customWidth="1" min="11" max="11" width="8.86"/>
    <col customWidth="1" min="12" max="21" width="9.0"/>
    <col customWidth="1" min="22" max="22" width="8.57"/>
    <col customWidth="1" min="23" max="23" width="8.14"/>
    <col customWidth="1" min="24" max="25" width="9.14"/>
    <col customWidth="1" min="26" max="26" width="9.0"/>
    <col customWidth="1" min="27" max="27" width="9.14"/>
    <col customWidth="1" min="28" max="28" width="9.0"/>
    <col customWidth="1" min="29" max="29" width="9.14"/>
    <col customWidth="1" min="30" max="30" width="8.86"/>
    <col customWidth="1" min="31" max="33" width="9.0"/>
    <col customWidth="1" min="34" max="34" width="9.14"/>
    <col customWidth="1" min="35" max="35" width="9.0"/>
    <col customWidth="1" min="36" max="36" width="7.57"/>
    <col customWidth="1" min="37" max="37" width="9.0"/>
    <col customWidth="1" min="38" max="45" width="7.57"/>
  </cols>
  <sheetData>
    <row r="1" ht="14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ht="117.0" customHeight="1">
      <c r="A2" s="1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5" t="s">
        <v>29</v>
      </c>
      <c r="AF2" s="6" t="s">
        <v>30</v>
      </c>
      <c r="AG2" s="6" t="s">
        <v>31</v>
      </c>
      <c r="AH2" s="6" t="s">
        <v>32</v>
      </c>
      <c r="AI2" s="7" t="s">
        <v>33</v>
      </c>
      <c r="AJ2" s="8"/>
      <c r="AK2" s="8"/>
      <c r="AL2" s="8"/>
      <c r="AM2" s="8"/>
      <c r="AN2" s="8"/>
      <c r="AO2" s="1"/>
      <c r="AP2" s="1"/>
      <c r="AQ2" s="1"/>
      <c r="AR2" s="1"/>
      <c r="AS2" s="1"/>
    </row>
    <row r="3" ht="14.25" customHeight="1">
      <c r="A3" s="9"/>
      <c r="B3" s="10" t="s">
        <v>34</v>
      </c>
      <c r="C3" s="11"/>
      <c r="D3" s="11"/>
      <c r="E3" s="11">
        <v>46061.0</v>
      </c>
      <c r="F3" s="11">
        <v>46071.0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  <c r="AF3" s="11"/>
      <c r="AG3" s="11"/>
      <c r="AH3" s="11"/>
      <c r="AI3" s="1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ht="14.25" customHeight="1">
      <c r="A4" s="13"/>
      <c r="B4" s="14" t="s">
        <v>35</v>
      </c>
      <c r="C4" s="15">
        <v>48.0</v>
      </c>
      <c r="D4" s="15">
        <v>48.0</v>
      </c>
      <c r="E4" s="15">
        <v>51.0</v>
      </c>
      <c r="F4" s="15">
        <v>51.0</v>
      </c>
      <c r="G4" s="15">
        <v>51.0</v>
      </c>
      <c r="H4" s="15">
        <v>51.0</v>
      </c>
      <c r="I4" s="15">
        <v>51.0</v>
      </c>
      <c r="J4" s="15">
        <v>51.0</v>
      </c>
      <c r="K4" s="15">
        <v>51.0</v>
      </c>
      <c r="L4" s="15">
        <v>51.0</v>
      </c>
      <c r="M4" s="15">
        <v>51.0</v>
      </c>
      <c r="N4" s="15">
        <v>51.0</v>
      </c>
      <c r="O4" s="15">
        <v>51.0</v>
      </c>
      <c r="P4" s="15">
        <v>51.0</v>
      </c>
      <c r="Q4" s="15">
        <v>51.0</v>
      </c>
      <c r="R4" s="15">
        <v>51.0</v>
      </c>
      <c r="S4" s="15">
        <v>51.0</v>
      </c>
      <c r="T4" s="15">
        <v>51.0</v>
      </c>
      <c r="U4" s="15">
        <v>51.0</v>
      </c>
      <c r="V4" s="15">
        <v>51.0</v>
      </c>
      <c r="W4" s="15">
        <v>51.0</v>
      </c>
      <c r="X4" s="15">
        <v>51.0</v>
      </c>
      <c r="Y4" s="15">
        <v>51.0</v>
      </c>
      <c r="Z4" s="15">
        <v>51.0</v>
      </c>
      <c r="AA4" s="15">
        <v>51.0</v>
      </c>
      <c r="AB4" s="15">
        <v>51.0</v>
      </c>
      <c r="AC4" s="15">
        <v>51.0</v>
      </c>
      <c r="AD4" s="15">
        <v>51.0</v>
      </c>
      <c r="AE4" s="15">
        <v>51.0</v>
      </c>
      <c r="AF4" s="15">
        <v>51.0</v>
      </c>
      <c r="AG4" s="15">
        <v>51.0</v>
      </c>
      <c r="AH4" s="15">
        <v>51.0</v>
      </c>
      <c r="AI4" s="15">
        <v>51.0</v>
      </c>
      <c r="AJ4" s="1"/>
      <c r="AK4" s="1"/>
      <c r="AL4" s="1"/>
      <c r="AM4" s="1"/>
      <c r="AN4" s="1"/>
      <c r="AO4" s="1"/>
      <c r="AP4" s="1"/>
      <c r="AQ4" s="1"/>
      <c r="AR4" s="1"/>
      <c r="AS4" s="1"/>
    </row>
    <row r="5" ht="15.0" customHeight="1">
      <c r="A5" s="16"/>
      <c r="B5" s="16" t="s">
        <v>36</v>
      </c>
      <c r="C5" s="17" t="str">
        <f t="shared" ref="C5:AI5" si="1">COUNTIF(C7:C115,"○")</f>
        <v>0 </v>
      </c>
      <c r="D5" s="17" t="str">
        <f t="shared" si="1"/>
        <v>0 </v>
      </c>
      <c r="E5" s="17" t="str">
        <f t="shared" si="1"/>
        <v>0 </v>
      </c>
      <c r="F5" s="17" t="str">
        <f t="shared" si="1"/>
        <v>0 </v>
      </c>
      <c r="G5" s="17" t="str">
        <f t="shared" si="1"/>
        <v>0 </v>
      </c>
      <c r="H5" s="17" t="str">
        <f t="shared" si="1"/>
        <v>0 </v>
      </c>
      <c r="I5" s="17" t="str">
        <f t="shared" si="1"/>
        <v>0 </v>
      </c>
      <c r="J5" s="17" t="str">
        <f t="shared" si="1"/>
        <v>0 </v>
      </c>
      <c r="K5" s="17" t="str">
        <f t="shared" si="1"/>
        <v>0 </v>
      </c>
      <c r="L5" s="17" t="str">
        <f t="shared" si="1"/>
        <v>0 </v>
      </c>
      <c r="M5" s="17" t="str">
        <f t="shared" si="1"/>
        <v>0 </v>
      </c>
      <c r="N5" s="17" t="str">
        <f t="shared" si="1"/>
        <v>0 </v>
      </c>
      <c r="O5" s="17" t="str">
        <f t="shared" si="1"/>
        <v>0 </v>
      </c>
      <c r="P5" s="17" t="str">
        <f t="shared" si="1"/>
        <v>0 </v>
      </c>
      <c r="Q5" s="17" t="str">
        <f t="shared" si="1"/>
        <v>0 </v>
      </c>
      <c r="R5" s="17" t="str">
        <f t="shared" si="1"/>
        <v>0 </v>
      </c>
      <c r="S5" s="17" t="str">
        <f t="shared" si="1"/>
        <v>0 </v>
      </c>
      <c r="T5" s="17" t="str">
        <f t="shared" si="1"/>
        <v>0 </v>
      </c>
      <c r="U5" s="17" t="str">
        <f t="shared" si="1"/>
        <v>0 </v>
      </c>
      <c r="V5" s="17" t="str">
        <f t="shared" si="1"/>
        <v>0 </v>
      </c>
      <c r="W5" s="17" t="str">
        <f t="shared" si="1"/>
        <v>0 </v>
      </c>
      <c r="X5" s="17" t="str">
        <f t="shared" si="1"/>
        <v>0 </v>
      </c>
      <c r="Y5" s="17" t="str">
        <f t="shared" si="1"/>
        <v>0 </v>
      </c>
      <c r="Z5" s="17" t="str">
        <f t="shared" si="1"/>
        <v>0 </v>
      </c>
      <c r="AA5" s="17" t="str">
        <f t="shared" si="1"/>
        <v>0 </v>
      </c>
      <c r="AB5" s="17" t="str">
        <f t="shared" si="1"/>
        <v>0 </v>
      </c>
      <c r="AC5" s="17" t="str">
        <f t="shared" si="1"/>
        <v>0 </v>
      </c>
      <c r="AD5" s="17" t="str">
        <f t="shared" si="1"/>
        <v>0 </v>
      </c>
      <c r="AE5" s="17" t="str">
        <f t="shared" si="1"/>
        <v>0 </v>
      </c>
      <c r="AF5" s="17" t="str">
        <f t="shared" si="1"/>
        <v>0 </v>
      </c>
      <c r="AG5" s="17" t="str">
        <f t="shared" si="1"/>
        <v>0 </v>
      </c>
      <c r="AH5" s="17" t="str">
        <f t="shared" si="1"/>
        <v>0 </v>
      </c>
      <c r="AI5" s="17" t="str">
        <f t="shared" si="1"/>
        <v>0 </v>
      </c>
      <c r="AJ5" s="1"/>
      <c r="AK5" s="1"/>
      <c r="AL5" s="1"/>
      <c r="AM5" s="1"/>
      <c r="AN5" s="1"/>
      <c r="AO5" s="1"/>
      <c r="AP5" s="1"/>
      <c r="AQ5" s="1"/>
      <c r="AR5" s="1"/>
      <c r="AS5" s="1"/>
    </row>
    <row r="6" ht="30.75" customHeight="1">
      <c r="A6" s="18"/>
      <c r="B6" s="19" t="s">
        <v>37</v>
      </c>
      <c r="C6" s="20" t="str">
        <f t="shared" ref="C6:S6" si="2">SUM(C5)/C4</f>
        <v>0.0%</v>
      </c>
      <c r="D6" s="20" t="str">
        <f t="shared" si="2"/>
        <v>0.0%</v>
      </c>
      <c r="E6" s="20" t="str">
        <f t="shared" si="2"/>
        <v>0.0%</v>
      </c>
      <c r="F6" s="20" t="str">
        <f t="shared" si="2"/>
        <v>0.0%</v>
      </c>
      <c r="G6" s="20" t="str">
        <f t="shared" si="2"/>
        <v>0.0%</v>
      </c>
      <c r="H6" s="20" t="str">
        <f t="shared" si="2"/>
        <v>0.0%</v>
      </c>
      <c r="I6" s="20" t="str">
        <f t="shared" si="2"/>
        <v>0.0%</v>
      </c>
      <c r="J6" s="21" t="str">
        <f t="shared" si="2"/>
        <v>0.0%</v>
      </c>
      <c r="K6" s="20" t="str">
        <f t="shared" si="2"/>
        <v>0.0%</v>
      </c>
      <c r="L6" s="20" t="str">
        <f t="shared" si="2"/>
        <v>0.0%</v>
      </c>
      <c r="M6" s="20" t="str">
        <f t="shared" si="2"/>
        <v>0.0%</v>
      </c>
      <c r="N6" s="20" t="str">
        <f t="shared" si="2"/>
        <v>0.0%</v>
      </c>
      <c r="O6" s="20" t="str">
        <f t="shared" si="2"/>
        <v>0.0%</v>
      </c>
      <c r="P6" s="20" t="str">
        <f t="shared" si="2"/>
        <v>0.0%</v>
      </c>
      <c r="Q6" s="20" t="str">
        <f t="shared" si="2"/>
        <v>0.0%</v>
      </c>
      <c r="R6" s="20" t="str">
        <f t="shared" si="2"/>
        <v>0.0%</v>
      </c>
      <c r="S6" s="20" t="str">
        <f t="shared" si="2"/>
        <v>0.0%</v>
      </c>
      <c r="T6" s="20">
        <v>0.111</v>
      </c>
      <c r="U6" s="20" t="str">
        <f t="shared" ref="U6:AI6" si="3">SUM(U5)/U4</f>
        <v>0.0%</v>
      </c>
      <c r="V6" s="20" t="str">
        <f t="shared" si="3"/>
        <v>0.0%</v>
      </c>
      <c r="W6" s="20" t="str">
        <f t="shared" si="3"/>
        <v>0.0%</v>
      </c>
      <c r="X6" s="20" t="str">
        <f t="shared" si="3"/>
        <v>0.0%</v>
      </c>
      <c r="Y6" s="20" t="str">
        <f t="shared" si="3"/>
        <v>0.0%</v>
      </c>
      <c r="Z6" s="20" t="str">
        <f t="shared" si="3"/>
        <v>0.0%</v>
      </c>
      <c r="AA6" s="20" t="str">
        <f t="shared" si="3"/>
        <v>0.0%</v>
      </c>
      <c r="AB6" s="20" t="str">
        <f t="shared" si="3"/>
        <v>0.0%</v>
      </c>
      <c r="AC6" s="20" t="str">
        <f t="shared" si="3"/>
        <v>0.0%</v>
      </c>
      <c r="AD6" s="20" t="str">
        <f t="shared" si="3"/>
        <v>0.0%</v>
      </c>
      <c r="AE6" s="22" t="str">
        <f t="shared" si="3"/>
        <v>0.0%</v>
      </c>
      <c r="AF6" s="20" t="str">
        <f t="shared" si="3"/>
        <v>0.0%</v>
      </c>
      <c r="AG6" s="20" t="str">
        <f t="shared" si="3"/>
        <v>0.0%</v>
      </c>
      <c r="AH6" s="20" t="str">
        <f t="shared" si="3"/>
        <v>0.0%</v>
      </c>
      <c r="AI6" s="20" t="str">
        <f t="shared" si="3"/>
        <v>0.0%</v>
      </c>
      <c r="AJ6" s="1"/>
      <c r="AK6" s="1"/>
      <c r="AL6" s="1"/>
      <c r="AM6" s="1"/>
      <c r="AN6" s="1"/>
      <c r="AO6" s="1"/>
      <c r="AP6" s="1"/>
      <c r="AQ6" s="1"/>
      <c r="AR6" s="1"/>
      <c r="AS6" s="1"/>
    </row>
    <row r="7" ht="15.0" customHeight="1">
      <c r="A7" s="23" t="s">
        <v>38</v>
      </c>
      <c r="B7" s="24" t="s">
        <v>39</v>
      </c>
      <c r="C7" s="25"/>
      <c r="D7" s="26"/>
      <c r="E7" s="26"/>
      <c r="F7" s="25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8"/>
      <c r="S7" s="28"/>
      <c r="T7" s="28"/>
      <c r="U7" s="28"/>
      <c r="V7" s="27"/>
      <c r="W7" s="28"/>
      <c r="X7" s="28"/>
      <c r="Y7" s="28"/>
      <c r="Z7" s="28"/>
      <c r="AA7" s="28"/>
      <c r="AB7" s="28"/>
      <c r="AC7" s="28"/>
      <c r="AD7" s="28"/>
      <c r="AE7" s="28"/>
      <c r="AF7" s="27"/>
      <c r="AG7" s="27"/>
      <c r="AH7" s="27"/>
      <c r="AI7" s="29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ht="14.25" customHeight="1">
      <c r="A8" s="30"/>
      <c r="B8" s="31" t="s">
        <v>40</v>
      </c>
      <c r="C8" s="32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33"/>
      <c r="AI8" s="33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ht="14.25" customHeight="1">
      <c r="A9" s="30"/>
      <c r="B9" s="34" t="s">
        <v>41</v>
      </c>
      <c r="C9" s="32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33"/>
      <c r="AI9" s="33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ht="14.25" customHeight="1">
      <c r="A10" s="30"/>
      <c r="B10" s="34" t="s">
        <v>42</v>
      </c>
      <c r="C10" s="32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33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ht="14.25" customHeight="1">
      <c r="A11" s="30"/>
      <c r="B11" s="35" t="s">
        <v>43</v>
      </c>
      <c r="C11" s="32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33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ht="14.25" customHeight="1">
      <c r="A12" s="30"/>
      <c r="B12" s="34" t="s">
        <v>44</v>
      </c>
      <c r="C12" s="32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33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ht="14.25" customHeight="1">
      <c r="A13" s="30"/>
      <c r="B13" s="35" t="s">
        <v>45</v>
      </c>
      <c r="C13" s="32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33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ht="14.25" customHeight="1">
      <c r="A14" s="30"/>
      <c r="B14" s="34" t="s">
        <v>46</v>
      </c>
      <c r="C14" s="32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33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ht="14.25" customHeight="1">
      <c r="A15" s="30"/>
      <c r="B15" s="34" t="s">
        <v>47</v>
      </c>
      <c r="C15" s="32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ht="14.25" customHeight="1">
      <c r="A16" s="30"/>
      <c r="B16" s="36"/>
      <c r="C16" s="33"/>
      <c r="D16" s="33"/>
      <c r="E16" s="33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ht="14.25" customHeight="1">
      <c r="A17" s="30"/>
      <c r="B17" s="37"/>
      <c r="C17" s="33"/>
      <c r="D17" s="33"/>
      <c r="E17" s="33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ht="14.25" customHeight="1">
      <c r="A18" s="30"/>
      <c r="B18" s="38"/>
      <c r="C18" s="34"/>
      <c r="D18" s="34"/>
      <c r="E18" s="34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ht="14.25" customHeight="1">
      <c r="A19" s="30"/>
      <c r="B19" s="39"/>
      <c r="C19" s="34"/>
      <c r="D19" s="34"/>
      <c r="E19" s="34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ht="14.25" customHeight="1">
      <c r="A20" s="30"/>
      <c r="B20" s="40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ht="18.0" customHeight="1">
      <c r="A21" s="41"/>
      <c r="B21" s="42" t="s">
        <v>48</v>
      </c>
      <c r="C21" s="43" t="str">
        <f t="shared" ref="C21:AI21" si="4">COUNTIF(C7:C20,"○")</f>
        <v>0/9</v>
      </c>
      <c r="D21" s="43" t="str">
        <f t="shared" si="4"/>
        <v>0/9</v>
      </c>
      <c r="E21" s="43" t="str">
        <f t="shared" si="4"/>
        <v>0/9</v>
      </c>
      <c r="F21" s="43" t="str">
        <f t="shared" si="4"/>
        <v>0/9</v>
      </c>
      <c r="G21" s="43" t="str">
        <f t="shared" si="4"/>
        <v>0/9</v>
      </c>
      <c r="H21" s="43" t="str">
        <f t="shared" si="4"/>
        <v>0/9</v>
      </c>
      <c r="I21" s="43" t="str">
        <f t="shared" si="4"/>
        <v>0/9</v>
      </c>
      <c r="J21" s="43" t="str">
        <f t="shared" si="4"/>
        <v>0/9</v>
      </c>
      <c r="K21" s="43" t="str">
        <f t="shared" si="4"/>
        <v>0/9</v>
      </c>
      <c r="L21" s="43" t="str">
        <f t="shared" si="4"/>
        <v>0/9</v>
      </c>
      <c r="M21" s="44" t="str">
        <f t="shared" si="4"/>
        <v>0/9</v>
      </c>
      <c r="N21" s="43" t="str">
        <f t="shared" si="4"/>
        <v>0/9</v>
      </c>
      <c r="O21" s="45" t="str">
        <f t="shared" si="4"/>
        <v>0/9</v>
      </c>
      <c r="P21" s="43" t="str">
        <f t="shared" si="4"/>
        <v>0/9</v>
      </c>
      <c r="Q21" s="43" t="str">
        <f t="shared" si="4"/>
        <v>0/9</v>
      </c>
      <c r="R21" s="43" t="str">
        <f t="shared" si="4"/>
        <v>0/9</v>
      </c>
      <c r="S21" s="43" t="str">
        <f t="shared" si="4"/>
        <v>0/9</v>
      </c>
      <c r="T21" s="43" t="str">
        <f t="shared" si="4"/>
        <v>0/9</v>
      </c>
      <c r="U21" s="43" t="str">
        <f t="shared" si="4"/>
        <v>0/9</v>
      </c>
      <c r="V21" s="43" t="str">
        <f t="shared" si="4"/>
        <v>0/9</v>
      </c>
      <c r="W21" s="43" t="str">
        <f t="shared" si="4"/>
        <v>0/9</v>
      </c>
      <c r="X21" s="43" t="str">
        <f t="shared" si="4"/>
        <v>0/9</v>
      </c>
      <c r="Y21" s="43" t="str">
        <f t="shared" si="4"/>
        <v>0/9</v>
      </c>
      <c r="Z21" s="45" t="str">
        <f t="shared" si="4"/>
        <v>0/9</v>
      </c>
      <c r="AA21" s="43" t="str">
        <f t="shared" si="4"/>
        <v>0/9</v>
      </c>
      <c r="AB21" s="43" t="str">
        <f t="shared" si="4"/>
        <v>0/9</v>
      </c>
      <c r="AC21" s="43" t="str">
        <f t="shared" si="4"/>
        <v>0/9</v>
      </c>
      <c r="AD21" s="43" t="str">
        <f t="shared" si="4"/>
        <v>0/9</v>
      </c>
      <c r="AE21" s="43" t="str">
        <f t="shared" si="4"/>
        <v>0/9</v>
      </c>
      <c r="AF21" s="43" t="str">
        <f t="shared" si="4"/>
        <v>0/9</v>
      </c>
      <c r="AG21" s="43" t="str">
        <f t="shared" si="4"/>
        <v>0/9</v>
      </c>
      <c r="AH21" s="43" t="str">
        <f t="shared" si="4"/>
        <v>0/9</v>
      </c>
      <c r="AI21" s="43" t="str">
        <f t="shared" si="4"/>
        <v>0/9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ht="15.0" customHeight="1">
      <c r="A22" s="23" t="s">
        <v>49</v>
      </c>
      <c r="B22" s="46" t="s">
        <v>50</v>
      </c>
      <c r="C22" s="25"/>
      <c r="D22" s="47"/>
      <c r="E22" s="47"/>
      <c r="F22" s="25"/>
      <c r="G22" s="47"/>
      <c r="H22" s="25"/>
      <c r="I22" s="48"/>
      <c r="J22" s="25"/>
      <c r="K22" s="28"/>
      <c r="L22" s="49"/>
      <c r="M22" s="25"/>
      <c r="N22" s="49"/>
      <c r="O22" s="25"/>
      <c r="P22" s="28"/>
      <c r="Q22" s="28"/>
      <c r="R22" s="28"/>
      <c r="S22" s="28"/>
      <c r="T22" s="28"/>
      <c r="U22" s="28"/>
      <c r="V22" s="50"/>
      <c r="W22" s="28"/>
      <c r="X22" s="28"/>
      <c r="Y22" s="28"/>
      <c r="Z22" s="28"/>
      <c r="AA22" s="28"/>
      <c r="AB22" s="28"/>
      <c r="AC22" s="28"/>
      <c r="AD22" s="28"/>
      <c r="AE22" s="28"/>
      <c r="AF22" s="48"/>
      <c r="AG22" s="48"/>
      <c r="AH22" s="51"/>
      <c r="AI22" s="48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ht="14.25" customHeight="1">
      <c r="A23" s="30"/>
      <c r="B23" s="34" t="s">
        <v>51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14.25" customHeight="1">
      <c r="A24" s="30"/>
      <c r="B24" s="34" t="s">
        <v>52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4.25" customHeight="1">
      <c r="A25" s="30"/>
      <c r="B25" s="34" t="s">
        <v>53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4.25" customHeight="1">
      <c r="A26" s="30"/>
      <c r="B26" s="34" t="s">
        <v>54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4.25" customHeight="1">
      <c r="A27" s="30"/>
      <c r="B27" s="31" t="s">
        <v>55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4.25" customHeight="1">
      <c r="A28" s="30"/>
      <c r="B28" s="31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4.25" customHeight="1">
      <c r="A29" s="30"/>
      <c r="B29" s="34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4.25" customHeight="1">
      <c r="A30" s="30"/>
      <c r="B30" s="34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4.25" customHeight="1">
      <c r="A31" s="30"/>
      <c r="B31" s="34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4.25" customHeight="1">
      <c r="A32" s="30"/>
      <c r="B32" s="5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0" customHeight="1">
      <c r="A33" s="30"/>
      <c r="B33" s="42" t="s">
        <v>56</v>
      </c>
      <c r="C33" s="53" t="str">
        <f t="shared" ref="C33:AI33" si="5">COUNTIF(C22:C32,"○")</f>
        <v>0/6</v>
      </c>
      <c r="D33" s="53" t="str">
        <f t="shared" si="5"/>
        <v>0/6</v>
      </c>
      <c r="E33" s="53" t="str">
        <f t="shared" si="5"/>
        <v>0/6</v>
      </c>
      <c r="F33" s="53" t="str">
        <f t="shared" si="5"/>
        <v>0/6</v>
      </c>
      <c r="G33" s="53" t="str">
        <f t="shared" si="5"/>
        <v>0/6</v>
      </c>
      <c r="H33" s="53" t="str">
        <f t="shared" si="5"/>
        <v>0/6</v>
      </c>
      <c r="I33" s="53" t="str">
        <f t="shared" si="5"/>
        <v>0/6</v>
      </c>
      <c r="J33" s="53" t="str">
        <f t="shared" si="5"/>
        <v>0/6</v>
      </c>
      <c r="K33" s="53" t="str">
        <f t="shared" si="5"/>
        <v>0/6</v>
      </c>
      <c r="L33" s="53" t="str">
        <f t="shared" si="5"/>
        <v>0/6</v>
      </c>
      <c r="M33" s="53" t="str">
        <f t="shared" si="5"/>
        <v>0/6</v>
      </c>
      <c r="N33" s="53" t="str">
        <f t="shared" si="5"/>
        <v>0/6</v>
      </c>
      <c r="O33" s="53" t="str">
        <f t="shared" si="5"/>
        <v>0/6</v>
      </c>
      <c r="P33" s="53" t="str">
        <f t="shared" si="5"/>
        <v>0/6</v>
      </c>
      <c r="Q33" s="53" t="str">
        <f t="shared" si="5"/>
        <v>0/6</v>
      </c>
      <c r="R33" s="53" t="str">
        <f t="shared" si="5"/>
        <v>0/6</v>
      </c>
      <c r="S33" s="53" t="str">
        <f t="shared" si="5"/>
        <v>0/6</v>
      </c>
      <c r="T33" s="53" t="str">
        <f t="shared" si="5"/>
        <v>0/6</v>
      </c>
      <c r="U33" s="53" t="str">
        <f t="shared" si="5"/>
        <v>0/6</v>
      </c>
      <c r="V33" s="53" t="str">
        <f t="shared" si="5"/>
        <v>0/6</v>
      </c>
      <c r="W33" s="53" t="str">
        <f t="shared" si="5"/>
        <v>0/6</v>
      </c>
      <c r="X33" s="53" t="str">
        <f t="shared" si="5"/>
        <v>0/6</v>
      </c>
      <c r="Y33" s="53" t="str">
        <f t="shared" si="5"/>
        <v>0/6</v>
      </c>
      <c r="Z33" s="53" t="str">
        <f t="shared" si="5"/>
        <v>0/6</v>
      </c>
      <c r="AA33" s="53" t="str">
        <f t="shared" si="5"/>
        <v>0/6</v>
      </c>
      <c r="AB33" s="53" t="str">
        <f t="shared" si="5"/>
        <v>0/6</v>
      </c>
      <c r="AC33" s="53" t="str">
        <f t="shared" si="5"/>
        <v>0/6</v>
      </c>
      <c r="AD33" s="53" t="str">
        <f t="shared" si="5"/>
        <v>0/6</v>
      </c>
      <c r="AE33" s="53" t="str">
        <f t="shared" si="5"/>
        <v>0/6</v>
      </c>
      <c r="AF33" s="53" t="str">
        <f t="shared" si="5"/>
        <v>0/6</v>
      </c>
      <c r="AG33" s="53" t="str">
        <f t="shared" si="5"/>
        <v>0/6</v>
      </c>
      <c r="AH33" s="53" t="str">
        <f t="shared" si="5"/>
        <v>0/6</v>
      </c>
      <c r="AI33" s="53" t="str">
        <f t="shared" si="5"/>
        <v>0/6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0" customHeight="1">
      <c r="A34" s="54" t="s">
        <v>57</v>
      </c>
      <c r="B34" s="55" t="s">
        <v>58</v>
      </c>
      <c r="C34" s="56"/>
      <c r="D34" s="28"/>
      <c r="E34" s="28"/>
      <c r="F34" s="28"/>
      <c r="G34" s="28"/>
      <c r="H34" s="28"/>
      <c r="I34" s="57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58"/>
      <c r="AA34" s="28"/>
      <c r="AB34" s="28"/>
      <c r="AC34" s="28"/>
      <c r="AD34" s="28"/>
      <c r="AE34" s="28"/>
      <c r="AF34" s="58"/>
      <c r="AG34" s="58"/>
      <c r="AH34" s="58"/>
      <c r="AI34" s="58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4.25" customHeight="1">
      <c r="A35" s="30"/>
      <c r="B35" s="32" t="s">
        <v>59</v>
      </c>
      <c r="C35" s="28"/>
      <c r="D35" s="28"/>
      <c r="E35" s="28"/>
      <c r="F35" s="28"/>
      <c r="G35" s="28"/>
      <c r="H35" s="28"/>
      <c r="I35" s="33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33"/>
      <c r="AG35" s="33"/>
      <c r="AH35" s="33"/>
      <c r="AI35" s="33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4.25" customHeight="1">
      <c r="A36" s="30"/>
      <c r="B36" s="32" t="s">
        <v>60</v>
      </c>
      <c r="C36" s="28"/>
      <c r="D36" s="59"/>
      <c r="E36" s="28"/>
      <c r="F36" s="28"/>
      <c r="G36" s="28"/>
      <c r="H36" s="28"/>
      <c r="I36" s="33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33"/>
      <c r="Z36" s="33"/>
      <c r="AA36" s="28"/>
      <c r="AB36" s="33"/>
      <c r="AC36" s="28"/>
      <c r="AD36" s="28"/>
      <c r="AE36" s="28"/>
      <c r="AF36" s="33"/>
      <c r="AG36" s="33"/>
      <c r="AH36" s="33"/>
      <c r="AI36" s="33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4.25" customHeight="1">
      <c r="A37" s="30"/>
      <c r="B37" s="32" t="s">
        <v>61</v>
      </c>
      <c r="C37" s="28"/>
      <c r="D37" s="28"/>
      <c r="E37" s="28"/>
      <c r="F37" s="28"/>
      <c r="G37" s="28"/>
      <c r="H37" s="28"/>
      <c r="I37" s="33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33"/>
      <c r="AH37" s="33"/>
      <c r="AI37" s="33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4.25" customHeight="1">
      <c r="A38" s="30"/>
      <c r="B38" s="60" t="s">
        <v>62</v>
      </c>
      <c r="C38" s="28"/>
      <c r="D38" s="28"/>
      <c r="E38" s="28"/>
      <c r="F38" s="28"/>
      <c r="G38" s="28"/>
      <c r="H38" s="28"/>
      <c r="I38" s="33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33"/>
      <c r="AG38" s="33"/>
      <c r="AH38" s="33"/>
      <c r="AI38" s="33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4.25" customHeight="1">
      <c r="A39" s="30"/>
      <c r="B39" s="60" t="s">
        <v>63</v>
      </c>
      <c r="C39" s="28"/>
      <c r="D39" s="28"/>
      <c r="E39" s="28"/>
      <c r="F39" s="28"/>
      <c r="G39" s="28"/>
      <c r="H39" s="28"/>
      <c r="I39" s="33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33"/>
      <c r="AH39" s="33"/>
      <c r="AI39" s="33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4.25" customHeight="1">
      <c r="A40" s="30"/>
      <c r="B40" s="60" t="s">
        <v>64</v>
      </c>
      <c r="C40" s="28"/>
      <c r="D40" s="28"/>
      <c r="E40" s="28"/>
      <c r="F40" s="28"/>
      <c r="G40" s="28"/>
      <c r="H40" s="28"/>
      <c r="I40" s="33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33"/>
      <c r="AG40" s="33"/>
      <c r="AH40" s="33"/>
      <c r="AI40" s="33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4.25" customHeight="1">
      <c r="A41" s="30"/>
      <c r="B41" s="60" t="s">
        <v>65</v>
      </c>
      <c r="C41" s="28"/>
      <c r="D41" s="28"/>
      <c r="E41" s="28"/>
      <c r="F41" s="28"/>
      <c r="G41" s="28"/>
      <c r="H41" s="28"/>
      <c r="I41" s="33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33"/>
      <c r="AG41" s="33"/>
      <c r="AH41" s="33"/>
      <c r="AI41" s="33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4.25" customHeight="1">
      <c r="A42" s="30"/>
      <c r="B42" s="35"/>
      <c r="C42" s="28"/>
      <c r="D42" s="28"/>
      <c r="E42" s="28"/>
      <c r="F42" s="33"/>
      <c r="G42" s="33"/>
      <c r="H42" s="33"/>
      <c r="I42" s="33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33"/>
      <c r="AG42" s="33"/>
      <c r="AH42" s="33"/>
      <c r="AI42" s="33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4.25" customHeight="1">
      <c r="A43" s="30"/>
      <c r="B43" s="34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33"/>
      <c r="AI43" s="28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4.25" customHeight="1">
      <c r="A44" s="30"/>
      <c r="B44" s="34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33"/>
      <c r="AI44" s="28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4.25" customHeight="1">
      <c r="A45" s="30"/>
      <c r="B45" s="34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33"/>
      <c r="AI45" s="28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4.25" customHeight="1">
      <c r="A46" s="30"/>
      <c r="B46" s="34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33"/>
      <c r="AI46" s="28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0" customHeight="1">
      <c r="A47" s="41"/>
      <c r="B47" s="61" t="s">
        <v>56</v>
      </c>
      <c r="C47" s="62" t="str">
        <f t="shared" ref="C47:AI47" si="6">COUNTIF(C34:C46,"○")</f>
        <v>0/8</v>
      </c>
      <c r="D47" s="62" t="str">
        <f t="shared" si="6"/>
        <v>0/8</v>
      </c>
      <c r="E47" s="62" t="str">
        <f t="shared" si="6"/>
        <v>0/8</v>
      </c>
      <c r="F47" s="62" t="str">
        <f t="shared" si="6"/>
        <v>0/8</v>
      </c>
      <c r="G47" s="62" t="str">
        <f t="shared" si="6"/>
        <v>0/8</v>
      </c>
      <c r="H47" s="62" t="str">
        <f t="shared" si="6"/>
        <v>0/8</v>
      </c>
      <c r="I47" s="62" t="str">
        <f t="shared" si="6"/>
        <v>0/8</v>
      </c>
      <c r="J47" s="62" t="str">
        <f t="shared" si="6"/>
        <v>0/8</v>
      </c>
      <c r="K47" s="62" t="str">
        <f t="shared" si="6"/>
        <v>0/8</v>
      </c>
      <c r="L47" s="62" t="str">
        <f t="shared" si="6"/>
        <v>0/8</v>
      </c>
      <c r="M47" s="62" t="str">
        <f t="shared" si="6"/>
        <v>0/8</v>
      </c>
      <c r="N47" s="62" t="str">
        <f t="shared" si="6"/>
        <v>0/8</v>
      </c>
      <c r="O47" s="62" t="str">
        <f t="shared" si="6"/>
        <v>0/8</v>
      </c>
      <c r="P47" s="62" t="str">
        <f t="shared" si="6"/>
        <v>0/8</v>
      </c>
      <c r="Q47" s="62" t="str">
        <f t="shared" si="6"/>
        <v>0/8</v>
      </c>
      <c r="R47" s="62" t="str">
        <f t="shared" si="6"/>
        <v>0/8</v>
      </c>
      <c r="S47" s="62" t="str">
        <f t="shared" si="6"/>
        <v>0/8</v>
      </c>
      <c r="T47" s="62" t="str">
        <f t="shared" si="6"/>
        <v>0/8</v>
      </c>
      <c r="U47" s="62" t="str">
        <f t="shared" si="6"/>
        <v>0/8</v>
      </c>
      <c r="V47" s="62" t="str">
        <f t="shared" si="6"/>
        <v>0/8</v>
      </c>
      <c r="W47" s="62" t="str">
        <f t="shared" si="6"/>
        <v>0/8</v>
      </c>
      <c r="X47" s="62" t="str">
        <f t="shared" si="6"/>
        <v>0/8</v>
      </c>
      <c r="Y47" s="62" t="str">
        <f t="shared" si="6"/>
        <v>0/8</v>
      </c>
      <c r="Z47" s="62" t="str">
        <f t="shared" si="6"/>
        <v>0/8</v>
      </c>
      <c r="AA47" s="62" t="str">
        <f t="shared" si="6"/>
        <v>0/8</v>
      </c>
      <c r="AB47" s="62" t="str">
        <f t="shared" si="6"/>
        <v>0/8</v>
      </c>
      <c r="AC47" s="62" t="str">
        <f t="shared" si="6"/>
        <v>0/8</v>
      </c>
      <c r="AD47" s="62" t="str">
        <f t="shared" si="6"/>
        <v>0/8</v>
      </c>
      <c r="AE47" s="62" t="str">
        <f t="shared" si="6"/>
        <v>0/8</v>
      </c>
      <c r="AF47" s="62" t="str">
        <f t="shared" si="6"/>
        <v>0/8</v>
      </c>
      <c r="AG47" s="62" t="str">
        <f t="shared" si="6"/>
        <v>0/8</v>
      </c>
      <c r="AH47" s="62" t="str">
        <f t="shared" si="6"/>
        <v>0/8</v>
      </c>
      <c r="AI47" s="62" t="str">
        <f t="shared" si="6"/>
        <v>0/8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0" customHeight="1">
      <c r="A48" s="54" t="s">
        <v>66</v>
      </c>
      <c r="B48" s="46" t="s">
        <v>67</v>
      </c>
      <c r="C48" s="63"/>
      <c r="D48" s="28"/>
      <c r="E48" s="28"/>
      <c r="F48" s="28"/>
      <c r="G48" s="64"/>
      <c r="H48" s="64"/>
      <c r="I48" s="65"/>
      <c r="J48" s="65"/>
      <c r="K48" s="66"/>
      <c r="L48" s="64"/>
      <c r="M48" s="65"/>
      <c r="N48" s="67"/>
      <c r="O48" s="64"/>
      <c r="P48" s="28"/>
      <c r="Q48" s="28"/>
      <c r="R48" s="28"/>
      <c r="S48" s="28"/>
      <c r="T48" s="28"/>
      <c r="U48" s="28"/>
      <c r="V48" s="51"/>
      <c r="W48" s="28"/>
      <c r="X48" s="28"/>
      <c r="Y48" s="28"/>
      <c r="Z48" s="28"/>
      <c r="AA48" s="28"/>
      <c r="AB48" s="28"/>
      <c r="AC48" s="28"/>
      <c r="AD48" s="28"/>
      <c r="AE48" s="28"/>
      <c r="AF48" s="65"/>
      <c r="AG48" s="65"/>
      <c r="AH48" s="58"/>
      <c r="AI48" s="67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4.25" customHeight="1">
      <c r="A49" s="30"/>
      <c r="B49" s="34" t="s">
        <v>68</v>
      </c>
      <c r="C49" s="28"/>
      <c r="D49" s="28"/>
      <c r="E49" s="28"/>
      <c r="F49" s="28"/>
      <c r="G49" s="66"/>
      <c r="H49" s="66"/>
      <c r="I49" s="66"/>
      <c r="J49" s="66"/>
      <c r="K49" s="66"/>
      <c r="L49" s="66"/>
      <c r="M49" s="66"/>
      <c r="N49" s="66"/>
      <c r="O49" s="66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33"/>
      <c r="AG49" s="33"/>
      <c r="AH49" s="33"/>
      <c r="AI49" s="34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4.25" customHeight="1">
      <c r="A50" s="30"/>
      <c r="B50" s="34" t="s">
        <v>69</v>
      </c>
      <c r="C50" s="28"/>
      <c r="D50" s="28"/>
      <c r="E50" s="28"/>
      <c r="F50" s="28"/>
      <c r="G50" s="66"/>
      <c r="H50" s="66"/>
      <c r="I50" s="66"/>
      <c r="J50" s="66"/>
      <c r="K50" s="66"/>
      <c r="L50" s="66"/>
      <c r="M50" s="66"/>
      <c r="N50" s="66"/>
      <c r="O50" s="66"/>
      <c r="P50" s="28"/>
      <c r="Q50" s="66"/>
      <c r="R50" s="66"/>
      <c r="S50" s="66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56"/>
      <c r="AG50" s="56"/>
      <c r="AH50" s="56"/>
      <c r="AI50" s="34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4.25" customHeight="1">
      <c r="A51" s="30"/>
      <c r="B51" s="32" t="s">
        <v>70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28"/>
      <c r="Q51" s="28"/>
      <c r="R51" s="28"/>
      <c r="S51" s="28"/>
      <c r="T51" s="6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4.25" customHeight="1">
      <c r="A52" s="30"/>
      <c r="B52" s="69" t="s">
        <v>71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28"/>
      <c r="Q52" s="28"/>
      <c r="R52" s="28"/>
      <c r="S52" s="28"/>
      <c r="T52" s="6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33"/>
      <c r="AG52" s="33"/>
      <c r="AH52" s="33"/>
      <c r="AI52" s="34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4.25" customHeight="1">
      <c r="A53" s="30"/>
      <c r="B53" s="34" t="s">
        <v>72</v>
      </c>
      <c r="C53" s="28"/>
      <c r="D53" s="28"/>
      <c r="E53" s="28"/>
      <c r="F53" s="28"/>
      <c r="G53" s="66"/>
      <c r="H53" s="66"/>
      <c r="I53" s="66"/>
      <c r="J53" s="66"/>
      <c r="K53" s="66"/>
      <c r="L53" s="66"/>
      <c r="M53" s="66"/>
      <c r="N53" s="66"/>
      <c r="O53" s="66"/>
      <c r="P53" s="28"/>
      <c r="Q53" s="66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33"/>
      <c r="AG53" s="33"/>
      <c r="AH53" s="33"/>
      <c r="AI53" s="34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4.25" customHeight="1">
      <c r="A54" s="30"/>
      <c r="B54" s="34" t="s">
        <v>73</v>
      </c>
      <c r="C54" s="28"/>
      <c r="D54" s="28"/>
      <c r="E54" s="28"/>
      <c r="F54" s="28"/>
      <c r="G54" s="66"/>
      <c r="H54" s="66"/>
      <c r="I54" s="66"/>
      <c r="J54" s="66"/>
      <c r="K54" s="66"/>
      <c r="L54" s="66"/>
      <c r="M54" s="66"/>
      <c r="N54" s="66"/>
      <c r="O54" s="33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56"/>
      <c r="AG54" s="33"/>
      <c r="AH54" s="33"/>
      <c r="AI54" s="34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4.25" customHeight="1">
      <c r="A55" s="30"/>
      <c r="B55" s="34" t="s">
        <v>74</v>
      </c>
      <c r="C55" s="28"/>
      <c r="D55" s="28"/>
      <c r="E55" s="28"/>
      <c r="F55" s="28"/>
      <c r="G55" s="66"/>
      <c r="H55" s="66"/>
      <c r="I55" s="66"/>
      <c r="J55" s="66"/>
      <c r="K55" s="66"/>
      <c r="L55" s="66"/>
      <c r="M55" s="66"/>
      <c r="N55" s="66"/>
      <c r="O55" s="66"/>
      <c r="P55" s="28"/>
      <c r="Q55" s="66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56"/>
      <c r="AG55" s="33"/>
      <c r="AH55" s="33"/>
      <c r="AI55" s="34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4.25" customHeight="1">
      <c r="A56" s="30"/>
      <c r="B56" s="34" t="s">
        <v>75</v>
      </c>
      <c r="C56" s="28"/>
      <c r="D56" s="28"/>
      <c r="E56" s="28"/>
      <c r="F56" s="28"/>
      <c r="G56" s="66"/>
      <c r="H56" s="66"/>
      <c r="I56" s="66"/>
      <c r="J56" s="66"/>
      <c r="K56" s="66"/>
      <c r="L56" s="66"/>
      <c r="M56" s="66"/>
      <c r="N56" s="66"/>
      <c r="O56" s="66"/>
      <c r="P56" s="28"/>
      <c r="Q56" s="28"/>
      <c r="R56" s="28"/>
      <c r="S56" s="28"/>
      <c r="T56" s="28"/>
      <c r="U56" s="28"/>
      <c r="V56" s="70"/>
      <c r="W56" s="28"/>
      <c r="X56" s="28"/>
      <c r="Y56" s="28"/>
      <c r="Z56" s="28"/>
      <c r="AA56" s="28"/>
      <c r="AB56" s="28"/>
      <c r="AC56" s="28"/>
      <c r="AD56" s="28"/>
      <c r="AE56" s="28"/>
      <c r="AF56" s="56"/>
      <c r="AG56" s="56"/>
      <c r="AH56" s="71"/>
      <c r="AI56" s="56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4.25" customHeight="1">
      <c r="A57" s="30"/>
      <c r="B57" s="72" t="s">
        <v>76</v>
      </c>
      <c r="C57" s="73"/>
      <c r="D57" s="73"/>
      <c r="E57" s="73"/>
      <c r="F57" s="73"/>
      <c r="G57" s="66"/>
      <c r="H57" s="66"/>
      <c r="I57" s="66"/>
      <c r="J57" s="66"/>
      <c r="K57" s="66"/>
      <c r="L57" s="66"/>
      <c r="M57" s="66"/>
      <c r="N57" s="66"/>
      <c r="O57" s="66"/>
      <c r="P57" s="28"/>
      <c r="Q57" s="28"/>
      <c r="R57" s="28"/>
      <c r="S57" s="28"/>
      <c r="T57" s="28"/>
      <c r="U57" s="28"/>
      <c r="V57" s="74"/>
      <c r="W57" s="28"/>
      <c r="X57" s="28"/>
      <c r="Y57" s="28"/>
      <c r="Z57" s="28"/>
      <c r="AA57" s="28"/>
      <c r="AB57" s="28"/>
      <c r="AC57" s="28"/>
      <c r="AD57" s="28"/>
      <c r="AE57" s="28"/>
      <c r="AF57" s="74"/>
      <c r="AG57" s="74"/>
      <c r="AH57" s="75"/>
      <c r="AI57" s="74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4.25" customHeight="1">
      <c r="A58" s="30"/>
      <c r="B58" s="69"/>
      <c r="C58" s="28"/>
      <c r="D58" s="28"/>
      <c r="E58" s="28"/>
      <c r="F58" s="33"/>
      <c r="G58" s="66"/>
      <c r="H58" s="66"/>
      <c r="I58" s="66"/>
      <c r="J58" s="66"/>
      <c r="K58" s="66"/>
      <c r="L58" s="66"/>
      <c r="M58" s="66"/>
      <c r="N58" s="66"/>
      <c r="O58" s="66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4.25" customHeight="1">
      <c r="A59" s="30"/>
      <c r="B59" s="76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33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4.25" customHeight="1">
      <c r="A60" s="30"/>
      <c r="B60" s="76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77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0" customHeight="1">
      <c r="A61" s="41"/>
      <c r="B61" s="42" t="s">
        <v>56</v>
      </c>
      <c r="C61" s="62" t="str">
        <f t="shared" ref="C61:AI61" si="7">COUNTIF(C48:C60,"○")</f>
        <v>0/8</v>
      </c>
      <c r="D61" s="62" t="str">
        <f t="shared" si="7"/>
        <v>0/8</v>
      </c>
      <c r="E61" s="62" t="str">
        <f t="shared" si="7"/>
        <v>0/8</v>
      </c>
      <c r="F61" s="62" t="str">
        <f t="shared" si="7"/>
        <v>0/8</v>
      </c>
      <c r="G61" s="62" t="str">
        <f t="shared" si="7"/>
        <v>0/8</v>
      </c>
      <c r="H61" s="62" t="str">
        <f t="shared" si="7"/>
        <v>0/8</v>
      </c>
      <c r="I61" s="62" t="str">
        <f t="shared" si="7"/>
        <v>0/8</v>
      </c>
      <c r="J61" s="62" t="str">
        <f t="shared" si="7"/>
        <v>0/8</v>
      </c>
      <c r="K61" s="62" t="str">
        <f t="shared" si="7"/>
        <v>0/8</v>
      </c>
      <c r="L61" s="62" t="str">
        <f t="shared" si="7"/>
        <v>0/8</v>
      </c>
      <c r="M61" s="62" t="str">
        <f t="shared" si="7"/>
        <v>0/8</v>
      </c>
      <c r="N61" s="62" t="str">
        <f t="shared" si="7"/>
        <v>0/8</v>
      </c>
      <c r="O61" s="62" t="str">
        <f t="shared" si="7"/>
        <v>0/8</v>
      </c>
      <c r="P61" s="62" t="str">
        <f t="shared" si="7"/>
        <v>0/8</v>
      </c>
      <c r="Q61" s="62" t="str">
        <f t="shared" si="7"/>
        <v>0/8</v>
      </c>
      <c r="R61" s="62" t="str">
        <f t="shared" si="7"/>
        <v>0/8</v>
      </c>
      <c r="S61" s="62" t="str">
        <f t="shared" si="7"/>
        <v>0/8</v>
      </c>
      <c r="T61" s="62" t="str">
        <f t="shared" si="7"/>
        <v>0/8</v>
      </c>
      <c r="U61" s="62" t="str">
        <f t="shared" si="7"/>
        <v>0/8</v>
      </c>
      <c r="V61" s="62" t="str">
        <f t="shared" si="7"/>
        <v>0/8</v>
      </c>
      <c r="W61" s="62" t="str">
        <f t="shared" si="7"/>
        <v>0/8</v>
      </c>
      <c r="X61" s="62" t="str">
        <f t="shared" si="7"/>
        <v>0/8</v>
      </c>
      <c r="Y61" s="62" t="str">
        <f t="shared" si="7"/>
        <v>0/8</v>
      </c>
      <c r="Z61" s="62" t="str">
        <f t="shared" si="7"/>
        <v>0/8</v>
      </c>
      <c r="AA61" s="62" t="str">
        <f t="shared" si="7"/>
        <v>0/8</v>
      </c>
      <c r="AB61" s="62" t="str">
        <f t="shared" si="7"/>
        <v>0/8</v>
      </c>
      <c r="AC61" s="62" t="str">
        <f t="shared" si="7"/>
        <v>0/8</v>
      </c>
      <c r="AD61" s="62" t="str">
        <f t="shared" si="7"/>
        <v>0/8</v>
      </c>
      <c r="AE61" s="62" t="str">
        <f t="shared" si="7"/>
        <v>0/8</v>
      </c>
      <c r="AF61" s="62" t="str">
        <f t="shared" si="7"/>
        <v>0/8</v>
      </c>
      <c r="AG61" s="62" t="str">
        <f t="shared" si="7"/>
        <v>0/8</v>
      </c>
      <c r="AH61" s="62" t="str">
        <f t="shared" si="7"/>
        <v>0/8</v>
      </c>
      <c r="AI61" s="62" t="str">
        <f t="shared" si="7"/>
        <v>0/8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0" customHeight="1">
      <c r="A62" s="54" t="s">
        <v>77</v>
      </c>
      <c r="B62" s="31" t="s">
        <v>78</v>
      </c>
      <c r="C62" s="51"/>
      <c r="D62" s="51"/>
      <c r="E62" s="51"/>
      <c r="F62" s="51"/>
      <c r="G62" s="51"/>
      <c r="H62" s="58"/>
      <c r="I62" s="58"/>
      <c r="J62" s="78"/>
      <c r="K62" s="78"/>
      <c r="L62" s="79"/>
      <c r="M62" s="78"/>
      <c r="N62" s="58"/>
      <c r="O62" s="58"/>
      <c r="P62" s="51"/>
      <c r="Q62" s="80"/>
      <c r="R62" s="51"/>
      <c r="S62" s="51"/>
      <c r="T62" s="51"/>
      <c r="U62" s="51"/>
      <c r="V62" s="79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4.25" customHeight="1">
      <c r="A63" s="30"/>
      <c r="B63" s="34" t="s">
        <v>79</v>
      </c>
      <c r="C63" s="28"/>
      <c r="D63" s="28"/>
      <c r="E63" s="28"/>
      <c r="F63" s="28"/>
      <c r="G63" s="28"/>
      <c r="H63" s="33"/>
      <c r="I63" s="33"/>
      <c r="J63" s="81"/>
      <c r="K63" s="81"/>
      <c r="L63" s="32"/>
      <c r="M63" s="82"/>
      <c r="N63" s="33"/>
      <c r="O63" s="33"/>
      <c r="P63" s="28"/>
      <c r="Q63" s="28"/>
      <c r="R63" s="28"/>
      <c r="S63" s="28"/>
      <c r="T63" s="28"/>
      <c r="U63" s="28"/>
      <c r="V63" s="32"/>
      <c r="W63" s="28"/>
      <c r="X63" s="28"/>
      <c r="Y63" s="28"/>
      <c r="Z63" s="28"/>
      <c r="AA63" s="28"/>
      <c r="AB63" s="28"/>
      <c r="AC63" s="28"/>
      <c r="AD63" s="28"/>
      <c r="AE63" s="28"/>
      <c r="AF63" s="56"/>
      <c r="AG63" s="56"/>
      <c r="AH63" s="83"/>
      <c r="AI63" s="83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4.25" customHeight="1">
      <c r="A64" s="30"/>
      <c r="B64" s="34" t="s">
        <v>80</v>
      </c>
      <c r="C64" s="28"/>
      <c r="D64" s="56"/>
      <c r="E64" s="28"/>
      <c r="F64" s="28"/>
      <c r="G64" s="28"/>
      <c r="H64" s="33"/>
      <c r="I64" s="33"/>
      <c r="J64" s="81"/>
      <c r="K64" s="81"/>
      <c r="L64" s="32"/>
      <c r="M64" s="81"/>
      <c r="N64" s="33"/>
      <c r="O64" s="33"/>
      <c r="P64" s="28"/>
      <c r="Q64" s="28"/>
      <c r="R64" s="28"/>
      <c r="S64" s="28"/>
      <c r="T64" s="28"/>
      <c r="U64" s="28"/>
      <c r="V64" s="33"/>
      <c r="W64" s="28"/>
      <c r="X64" s="28"/>
      <c r="Y64" s="28"/>
      <c r="Z64" s="28"/>
      <c r="AA64" s="28"/>
      <c r="AB64" s="28"/>
      <c r="AC64" s="28"/>
      <c r="AD64" s="28"/>
      <c r="AE64" s="28"/>
      <c r="AF64" s="56"/>
      <c r="AG64" s="56"/>
      <c r="AH64" s="56"/>
      <c r="AI64" s="56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4.25" customHeight="1">
      <c r="A65" s="30"/>
      <c r="B65" s="84" t="s">
        <v>81</v>
      </c>
      <c r="C65" s="28"/>
      <c r="D65" s="56"/>
      <c r="E65" s="28"/>
      <c r="F65" s="85"/>
      <c r="G65" s="56"/>
      <c r="H65" s="33"/>
      <c r="I65" s="85"/>
      <c r="J65" s="81"/>
      <c r="K65" s="81"/>
      <c r="L65" s="32"/>
      <c r="M65" s="81"/>
      <c r="N65" s="33"/>
      <c r="O65" s="33"/>
      <c r="P65" s="28"/>
      <c r="Q65" s="28"/>
      <c r="R65" s="28"/>
      <c r="S65" s="28"/>
      <c r="T65" s="28"/>
      <c r="U65" s="28"/>
      <c r="V65" s="32"/>
      <c r="W65" s="28"/>
      <c r="X65" s="28"/>
      <c r="Y65" s="28"/>
      <c r="Z65" s="28"/>
      <c r="AA65" s="28"/>
      <c r="AB65" s="28"/>
      <c r="AC65" s="28"/>
      <c r="AD65" s="28"/>
      <c r="AE65" s="28"/>
      <c r="AF65" s="56"/>
      <c r="AG65" s="56"/>
      <c r="AH65" s="56"/>
      <c r="AI65" s="56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4.25" customHeight="1">
      <c r="A66" s="30"/>
      <c r="B66" s="84" t="s">
        <v>82</v>
      </c>
      <c r="C66" s="28"/>
      <c r="D66" s="56"/>
      <c r="E66" s="28"/>
      <c r="F66" s="85"/>
      <c r="G66" s="56"/>
      <c r="H66" s="33"/>
      <c r="I66" s="85"/>
      <c r="J66" s="81"/>
      <c r="K66" s="81"/>
      <c r="L66" s="32"/>
      <c r="M66" s="81"/>
      <c r="N66" s="33"/>
      <c r="O66" s="33"/>
      <c r="P66" s="28"/>
      <c r="Q66" s="28"/>
      <c r="R66" s="28"/>
      <c r="S66" s="28"/>
      <c r="T66" s="28"/>
      <c r="U66" s="28"/>
      <c r="V66" s="32"/>
      <c r="W66" s="28"/>
      <c r="X66" s="28"/>
      <c r="Y66" s="28"/>
      <c r="Z66" s="28"/>
      <c r="AA66" s="28"/>
      <c r="AB66" s="28"/>
      <c r="AC66" s="28"/>
      <c r="AD66" s="28"/>
      <c r="AE66" s="28"/>
      <c r="AF66" s="56"/>
      <c r="AG66" s="56"/>
      <c r="AH66" s="56"/>
      <c r="AI66" s="56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4.25" customHeight="1">
      <c r="A67" s="30"/>
      <c r="B67" s="76" t="s">
        <v>83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66"/>
      <c r="U67" s="28"/>
      <c r="V67" s="28"/>
      <c r="W67" s="28"/>
      <c r="X67" s="28"/>
      <c r="Y67" s="28"/>
      <c r="Z67" s="66"/>
      <c r="AA67" s="28"/>
      <c r="AB67" s="28"/>
      <c r="AC67" s="28"/>
      <c r="AD67" s="28"/>
      <c r="AE67" s="86"/>
      <c r="AF67" s="28"/>
      <c r="AG67" s="28"/>
      <c r="AH67" s="28"/>
      <c r="AI67" s="28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4.25" customHeight="1">
      <c r="A68" s="30"/>
      <c r="B68" s="34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71"/>
      <c r="U68" s="56"/>
      <c r="V68" s="56"/>
      <c r="W68" s="56"/>
      <c r="X68" s="56"/>
      <c r="Y68" s="56"/>
      <c r="Z68" s="71"/>
      <c r="AA68" s="56"/>
      <c r="AB68" s="56"/>
      <c r="AC68" s="56"/>
      <c r="AD68" s="56"/>
      <c r="AE68" s="87"/>
      <c r="AF68" s="56"/>
      <c r="AG68" s="56"/>
      <c r="AH68" s="56"/>
      <c r="AI68" s="56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4.25" customHeight="1">
      <c r="A69" s="30"/>
      <c r="B69" s="34"/>
      <c r="C69" s="28"/>
      <c r="D69" s="28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71"/>
      <c r="U69" s="56"/>
      <c r="V69" s="56"/>
      <c r="W69" s="56"/>
      <c r="X69" s="56"/>
      <c r="Y69" s="56"/>
      <c r="Z69" s="71"/>
      <c r="AA69" s="56"/>
      <c r="AB69" s="56"/>
      <c r="AC69" s="56"/>
      <c r="AD69" s="56"/>
      <c r="AE69" s="87"/>
      <c r="AF69" s="56"/>
      <c r="AG69" s="56"/>
      <c r="AH69" s="56"/>
      <c r="AI69" s="56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4.25" customHeight="1">
      <c r="A70" s="30"/>
      <c r="B70" s="66"/>
      <c r="C70" s="56"/>
      <c r="D70" s="56"/>
      <c r="E70" s="56"/>
      <c r="F70" s="56"/>
      <c r="G70" s="56"/>
      <c r="H70" s="56"/>
      <c r="I70" s="56"/>
      <c r="J70" s="56"/>
      <c r="K70" s="56"/>
      <c r="L70" s="28"/>
      <c r="M70" s="56"/>
      <c r="N70" s="56"/>
      <c r="O70" s="56"/>
      <c r="P70" s="56"/>
      <c r="Q70" s="56"/>
      <c r="R70" s="56"/>
      <c r="S70" s="56"/>
      <c r="T70" s="71"/>
      <c r="U70" s="56"/>
      <c r="V70" s="56"/>
      <c r="W70" s="56"/>
      <c r="X70" s="56"/>
      <c r="Y70" s="56"/>
      <c r="Z70" s="71"/>
      <c r="AA70" s="56"/>
      <c r="AB70" s="56"/>
      <c r="AC70" s="56"/>
      <c r="AD70" s="56"/>
      <c r="AE70" s="87"/>
      <c r="AF70" s="56"/>
      <c r="AG70" s="56"/>
      <c r="AH70" s="56"/>
      <c r="AI70" s="56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4.25" customHeight="1">
      <c r="A71" s="30"/>
      <c r="B71" s="88"/>
      <c r="C71" s="56"/>
      <c r="D71" s="56"/>
      <c r="E71" s="56"/>
      <c r="F71" s="56"/>
      <c r="G71" s="56"/>
      <c r="H71" s="56"/>
      <c r="I71" s="56"/>
      <c r="J71" s="56"/>
      <c r="K71" s="56"/>
      <c r="L71" s="28"/>
      <c r="M71" s="56"/>
      <c r="N71" s="56"/>
      <c r="O71" s="56"/>
      <c r="P71" s="56"/>
      <c r="Q71" s="56"/>
      <c r="R71" s="56"/>
      <c r="S71" s="56"/>
      <c r="T71" s="71"/>
      <c r="U71" s="56"/>
      <c r="V71" s="56"/>
      <c r="W71" s="56"/>
      <c r="X71" s="56"/>
      <c r="Y71" s="56"/>
      <c r="Z71" s="71"/>
      <c r="AA71" s="56"/>
      <c r="AB71" s="56"/>
      <c r="AC71" s="56"/>
      <c r="AD71" s="56"/>
      <c r="AE71" s="87"/>
      <c r="AF71" s="56"/>
      <c r="AG71" s="56"/>
      <c r="AH71" s="56"/>
      <c r="AI71" s="56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4.25" customHeight="1">
      <c r="A72" s="30"/>
      <c r="B72" s="66"/>
      <c r="C72" s="28"/>
      <c r="D72" s="28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71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87"/>
      <c r="AF72" s="56"/>
      <c r="AG72" s="56"/>
      <c r="AH72" s="56"/>
      <c r="AI72" s="56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4.25" customHeight="1">
      <c r="A73" s="30"/>
      <c r="B73" s="66"/>
      <c r="C73" s="28"/>
      <c r="D73" s="28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56"/>
      <c r="Q73" s="56"/>
      <c r="R73" s="56"/>
      <c r="S73" s="56"/>
      <c r="T73" s="73"/>
      <c r="U73" s="70"/>
      <c r="V73" s="56"/>
      <c r="W73" s="70"/>
      <c r="X73" s="56"/>
      <c r="Y73" s="70"/>
      <c r="Z73" s="70"/>
      <c r="AA73" s="74"/>
      <c r="AB73" s="56"/>
      <c r="AC73" s="74"/>
      <c r="AD73" s="74"/>
      <c r="AE73" s="89"/>
      <c r="AF73" s="70"/>
      <c r="AG73" s="70"/>
      <c r="AH73" s="70"/>
      <c r="AI73" s="70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0" customHeight="1">
      <c r="A74" s="41"/>
      <c r="B74" s="42" t="s">
        <v>56</v>
      </c>
      <c r="C74" s="90" t="str">
        <f t="shared" ref="C74:AI74" si="8">COUNTIF(C62:C73,"○")</f>
        <v>0/5</v>
      </c>
      <c r="D74" s="90" t="str">
        <f t="shared" si="8"/>
        <v>0/5</v>
      </c>
      <c r="E74" s="90" t="str">
        <f t="shared" si="8"/>
        <v>0/5</v>
      </c>
      <c r="F74" s="90" t="str">
        <f t="shared" si="8"/>
        <v>0/5</v>
      </c>
      <c r="G74" s="90" t="str">
        <f t="shared" si="8"/>
        <v>0/5</v>
      </c>
      <c r="H74" s="90" t="str">
        <f t="shared" si="8"/>
        <v>0/5</v>
      </c>
      <c r="I74" s="90" t="str">
        <f t="shared" si="8"/>
        <v>0/5</v>
      </c>
      <c r="J74" s="90" t="str">
        <f t="shared" si="8"/>
        <v>0/5</v>
      </c>
      <c r="K74" s="90" t="str">
        <f t="shared" si="8"/>
        <v>0/5</v>
      </c>
      <c r="L74" s="90" t="str">
        <f t="shared" si="8"/>
        <v>0/5</v>
      </c>
      <c r="M74" s="90" t="str">
        <f t="shared" si="8"/>
        <v>0/5</v>
      </c>
      <c r="N74" s="90" t="str">
        <f t="shared" si="8"/>
        <v>0/5</v>
      </c>
      <c r="O74" s="90" t="str">
        <f t="shared" si="8"/>
        <v>0/5</v>
      </c>
      <c r="P74" s="90" t="str">
        <f t="shared" si="8"/>
        <v>0/5</v>
      </c>
      <c r="Q74" s="90" t="str">
        <f t="shared" si="8"/>
        <v>0/5</v>
      </c>
      <c r="R74" s="90" t="str">
        <f t="shared" si="8"/>
        <v>0/5</v>
      </c>
      <c r="S74" s="90" t="str">
        <f t="shared" si="8"/>
        <v>0/5</v>
      </c>
      <c r="T74" s="90" t="str">
        <f t="shared" si="8"/>
        <v>0/5</v>
      </c>
      <c r="U74" s="90" t="str">
        <f t="shared" si="8"/>
        <v>0/5</v>
      </c>
      <c r="V74" s="90" t="str">
        <f t="shared" si="8"/>
        <v>0/5</v>
      </c>
      <c r="W74" s="90" t="str">
        <f t="shared" si="8"/>
        <v>0/5</v>
      </c>
      <c r="X74" s="90" t="str">
        <f t="shared" si="8"/>
        <v>0/5</v>
      </c>
      <c r="Y74" s="90" t="str">
        <f t="shared" si="8"/>
        <v>0/5</v>
      </c>
      <c r="Z74" s="90" t="str">
        <f t="shared" si="8"/>
        <v>0/5</v>
      </c>
      <c r="AA74" s="90" t="str">
        <f t="shared" si="8"/>
        <v>0/5</v>
      </c>
      <c r="AB74" s="90" t="str">
        <f t="shared" si="8"/>
        <v>0/5</v>
      </c>
      <c r="AC74" s="90" t="str">
        <f t="shared" si="8"/>
        <v>0/5</v>
      </c>
      <c r="AD74" s="90" t="str">
        <f t="shared" si="8"/>
        <v>0/5</v>
      </c>
      <c r="AE74" s="90" t="str">
        <f t="shared" si="8"/>
        <v>0/5</v>
      </c>
      <c r="AF74" s="90" t="str">
        <f t="shared" si="8"/>
        <v>0/5</v>
      </c>
      <c r="AG74" s="90" t="str">
        <f t="shared" si="8"/>
        <v>0/5</v>
      </c>
      <c r="AH74" s="90" t="str">
        <f t="shared" si="8"/>
        <v>0/5</v>
      </c>
      <c r="AI74" s="90" t="str">
        <f t="shared" si="8"/>
        <v>0/5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0" customHeight="1">
      <c r="A75" s="54" t="s">
        <v>84</v>
      </c>
      <c r="B75" s="46" t="s">
        <v>85</v>
      </c>
      <c r="C75" s="51"/>
      <c r="D75" s="51"/>
      <c r="E75" s="51"/>
      <c r="F75" s="51"/>
      <c r="G75" s="51"/>
      <c r="H75" s="58"/>
      <c r="I75" s="58"/>
      <c r="J75" s="78"/>
      <c r="K75" s="78"/>
      <c r="L75" s="79"/>
      <c r="M75" s="78"/>
      <c r="N75" s="58"/>
      <c r="O75" s="58"/>
      <c r="P75" s="51"/>
      <c r="Q75" s="80"/>
      <c r="R75" s="51"/>
      <c r="S75" s="51"/>
      <c r="T75" s="51"/>
      <c r="U75" s="51"/>
      <c r="V75" s="79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4.25" customHeight="1">
      <c r="A76" s="30"/>
      <c r="B76" s="34" t="s">
        <v>86</v>
      </c>
      <c r="C76" s="28"/>
      <c r="D76" s="28"/>
      <c r="E76" s="28"/>
      <c r="F76" s="28"/>
      <c r="G76" s="28"/>
      <c r="H76" s="33"/>
      <c r="I76" s="33"/>
      <c r="J76" s="81"/>
      <c r="K76" s="81"/>
      <c r="L76" s="32"/>
      <c r="M76" s="82"/>
      <c r="N76" s="33"/>
      <c r="O76" s="33"/>
      <c r="P76" s="28"/>
      <c r="Q76" s="28"/>
      <c r="R76" s="28"/>
      <c r="S76" s="28"/>
      <c r="T76" s="28"/>
      <c r="U76" s="28"/>
      <c r="V76" s="32"/>
      <c r="W76" s="28"/>
      <c r="X76" s="28"/>
      <c r="Y76" s="28"/>
      <c r="Z76" s="28"/>
      <c r="AA76" s="28"/>
      <c r="AB76" s="28"/>
      <c r="AC76" s="28"/>
      <c r="AD76" s="28"/>
      <c r="AE76" s="28"/>
      <c r="AF76" s="56"/>
      <c r="AG76" s="56"/>
      <c r="AH76" s="83"/>
      <c r="AI76" s="83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4.25" customHeight="1">
      <c r="A77" s="30"/>
      <c r="B77" s="34" t="s">
        <v>87</v>
      </c>
      <c r="C77" s="28"/>
      <c r="D77" s="56"/>
      <c r="E77" s="28"/>
      <c r="F77" s="28"/>
      <c r="G77" s="28"/>
      <c r="H77" s="33"/>
      <c r="I77" s="33"/>
      <c r="J77" s="81"/>
      <c r="K77" s="81"/>
      <c r="L77" s="32"/>
      <c r="M77" s="81"/>
      <c r="N77" s="33"/>
      <c r="O77" s="33"/>
      <c r="P77" s="28"/>
      <c r="Q77" s="28"/>
      <c r="R77" s="28"/>
      <c r="S77" s="28"/>
      <c r="T77" s="28"/>
      <c r="U77" s="28"/>
      <c r="V77" s="33"/>
      <c r="W77" s="28"/>
      <c r="X77" s="28"/>
      <c r="Y77" s="28"/>
      <c r="Z77" s="28"/>
      <c r="AA77" s="28"/>
      <c r="AB77" s="28"/>
      <c r="AC77" s="28"/>
      <c r="AD77" s="28"/>
      <c r="AE77" s="28"/>
      <c r="AF77" s="56"/>
      <c r="AG77" s="56"/>
      <c r="AH77" s="56"/>
      <c r="AI77" s="56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4.25" customHeight="1">
      <c r="A78" s="30"/>
      <c r="B78" s="34" t="s">
        <v>88</v>
      </c>
      <c r="C78" s="28"/>
      <c r="D78" s="56"/>
      <c r="E78" s="28"/>
      <c r="F78" s="85"/>
      <c r="G78" s="56"/>
      <c r="H78" s="33"/>
      <c r="I78" s="85"/>
      <c r="J78" s="81"/>
      <c r="K78" s="81"/>
      <c r="L78" s="32"/>
      <c r="M78" s="81"/>
      <c r="N78" s="33"/>
      <c r="O78" s="33"/>
      <c r="P78" s="28"/>
      <c r="Q78" s="28"/>
      <c r="R78" s="28"/>
      <c r="S78" s="28"/>
      <c r="T78" s="28"/>
      <c r="U78" s="28"/>
      <c r="V78" s="32"/>
      <c r="W78" s="28"/>
      <c r="X78" s="28"/>
      <c r="Y78" s="28"/>
      <c r="Z78" s="28"/>
      <c r="AA78" s="28"/>
      <c r="AB78" s="28"/>
      <c r="AC78" s="28"/>
      <c r="AD78" s="28"/>
      <c r="AE78" s="28"/>
      <c r="AF78" s="56"/>
      <c r="AG78" s="56"/>
      <c r="AH78" s="56"/>
      <c r="AI78" s="56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4.25" customHeight="1">
      <c r="A79" s="30"/>
      <c r="B79" s="32" t="s">
        <v>89</v>
      </c>
      <c r="C79" s="28"/>
      <c r="D79" s="56"/>
      <c r="E79" s="28"/>
      <c r="F79" s="85"/>
      <c r="G79" s="56"/>
      <c r="H79" s="33"/>
      <c r="I79" s="85"/>
      <c r="J79" s="81"/>
      <c r="K79" s="81"/>
      <c r="L79" s="32"/>
      <c r="M79" s="81"/>
      <c r="N79" s="33"/>
      <c r="O79" s="33"/>
      <c r="P79" s="28"/>
      <c r="Q79" s="28"/>
      <c r="R79" s="28"/>
      <c r="S79" s="28"/>
      <c r="T79" s="28"/>
      <c r="U79" s="28"/>
      <c r="V79" s="32"/>
      <c r="W79" s="28"/>
      <c r="X79" s="28"/>
      <c r="Y79" s="28"/>
      <c r="Z79" s="28"/>
      <c r="AA79" s="28"/>
      <c r="AB79" s="28"/>
      <c r="AC79" s="28"/>
      <c r="AD79" s="28"/>
      <c r="AE79" s="28"/>
      <c r="AF79" s="56"/>
      <c r="AG79" s="56"/>
      <c r="AH79" s="56"/>
      <c r="AI79" s="56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4.25" customHeight="1">
      <c r="A80" s="30"/>
      <c r="B80" s="34" t="s">
        <v>90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66"/>
      <c r="U80" s="28"/>
      <c r="V80" s="28"/>
      <c r="W80" s="28"/>
      <c r="X80" s="28"/>
      <c r="Y80" s="28"/>
      <c r="Z80" s="66"/>
      <c r="AA80" s="28"/>
      <c r="AB80" s="28"/>
      <c r="AC80" s="28"/>
      <c r="AD80" s="28"/>
      <c r="AE80" s="86"/>
      <c r="AF80" s="28"/>
      <c r="AG80" s="28"/>
      <c r="AH80" s="28"/>
      <c r="AI80" s="28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4.25" customHeight="1">
      <c r="A81" s="30"/>
      <c r="B81" s="34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71"/>
      <c r="U81" s="56"/>
      <c r="V81" s="56"/>
      <c r="W81" s="56"/>
      <c r="X81" s="56"/>
      <c r="Y81" s="56"/>
      <c r="Z81" s="71"/>
      <c r="AA81" s="56"/>
      <c r="AB81" s="56"/>
      <c r="AC81" s="56"/>
      <c r="AD81" s="56"/>
      <c r="AE81" s="87"/>
      <c r="AF81" s="56"/>
      <c r="AG81" s="56"/>
      <c r="AH81" s="56"/>
      <c r="AI81" s="56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4.25" customHeight="1">
      <c r="A82" s="30"/>
      <c r="B82" s="34"/>
      <c r="C82" s="28"/>
      <c r="D82" s="28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71"/>
      <c r="U82" s="56"/>
      <c r="V82" s="56"/>
      <c r="W82" s="56"/>
      <c r="X82" s="56"/>
      <c r="Y82" s="56"/>
      <c r="Z82" s="71"/>
      <c r="AA82" s="56"/>
      <c r="AB82" s="56"/>
      <c r="AC82" s="56"/>
      <c r="AD82" s="56"/>
      <c r="AE82" s="87"/>
      <c r="AF82" s="56"/>
      <c r="AG82" s="56"/>
      <c r="AH82" s="56"/>
      <c r="AI82" s="56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4.25" customHeight="1">
      <c r="A83" s="30"/>
      <c r="B83" s="66"/>
      <c r="C83" s="56"/>
      <c r="D83" s="56"/>
      <c r="E83" s="56"/>
      <c r="F83" s="56"/>
      <c r="G83" s="56"/>
      <c r="H83" s="56"/>
      <c r="I83" s="56"/>
      <c r="J83" s="56"/>
      <c r="K83" s="56"/>
      <c r="L83" s="28"/>
      <c r="M83" s="56"/>
      <c r="N83" s="56"/>
      <c r="O83" s="56"/>
      <c r="P83" s="56"/>
      <c r="Q83" s="56"/>
      <c r="R83" s="56"/>
      <c r="S83" s="56"/>
      <c r="T83" s="71"/>
      <c r="U83" s="56"/>
      <c r="V83" s="56"/>
      <c r="W83" s="56"/>
      <c r="X83" s="56"/>
      <c r="Y83" s="56"/>
      <c r="Z83" s="71"/>
      <c r="AA83" s="56"/>
      <c r="AB83" s="56"/>
      <c r="AC83" s="56"/>
      <c r="AD83" s="56"/>
      <c r="AE83" s="87"/>
      <c r="AF83" s="56"/>
      <c r="AG83" s="56"/>
      <c r="AH83" s="56"/>
      <c r="AI83" s="56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4.25" customHeight="1">
      <c r="A84" s="30"/>
      <c r="B84" s="88"/>
      <c r="C84" s="56"/>
      <c r="D84" s="56"/>
      <c r="E84" s="56"/>
      <c r="F84" s="56"/>
      <c r="G84" s="56"/>
      <c r="H84" s="56"/>
      <c r="I84" s="56"/>
      <c r="J84" s="56"/>
      <c r="K84" s="56"/>
      <c r="L84" s="28"/>
      <c r="M84" s="56"/>
      <c r="N84" s="56"/>
      <c r="O84" s="56"/>
      <c r="P84" s="56"/>
      <c r="Q84" s="56"/>
      <c r="R84" s="56"/>
      <c r="S84" s="56"/>
      <c r="T84" s="71"/>
      <c r="U84" s="56"/>
      <c r="V84" s="56"/>
      <c r="W84" s="56"/>
      <c r="X84" s="56"/>
      <c r="Y84" s="56"/>
      <c r="Z84" s="71"/>
      <c r="AA84" s="56"/>
      <c r="AB84" s="56"/>
      <c r="AC84" s="56"/>
      <c r="AD84" s="56"/>
      <c r="AE84" s="87"/>
      <c r="AF84" s="56"/>
      <c r="AG84" s="56"/>
      <c r="AH84" s="56"/>
      <c r="AI84" s="56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4.25" customHeight="1">
      <c r="A85" s="30"/>
      <c r="B85" s="66"/>
      <c r="C85" s="28"/>
      <c r="D85" s="28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71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87"/>
      <c r="AF85" s="56"/>
      <c r="AG85" s="56"/>
      <c r="AH85" s="56"/>
      <c r="AI85" s="56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4.25" customHeight="1">
      <c r="A86" s="30"/>
      <c r="B86" s="66"/>
      <c r="C86" s="28"/>
      <c r="D86" s="28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56"/>
      <c r="Q86" s="56"/>
      <c r="R86" s="56"/>
      <c r="S86" s="56"/>
      <c r="T86" s="73"/>
      <c r="U86" s="70"/>
      <c r="V86" s="56"/>
      <c r="W86" s="70"/>
      <c r="X86" s="56"/>
      <c r="Y86" s="70"/>
      <c r="Z86" s="70"/>
      <c r="AA86" s="74"/>
      <c r="AB86" s="56"/>
      <c r="AC86" s="74"/>
      <c r="AD86" s="74"/>
      <c r="AE86" s="89"/>
      <c r="AF86" s="70"/>
      <c r="AG86" s="70"/>
      <c r="AH86" s="70"/>
      <c r="AI86" s="70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0" customHeight="1">
      <c r="A87" s="41"/>
      <c r="B87" s="42" t="s">
        <v>56</v>
      </c>
      <c r="C87" s="53" t="str">
        <f t="shared" ref="C87:AI87" si="9">COUNTIF(C75:C86,"○")</f>
        <v>0/6</v>
      </c>
      <c r="D87" s="53" t="str">
        <f t="shared" si="9"/>
        <v>0/6</v>
      </c>
      <c r="E87" s="53" t="str">
        <f t="shared" si="9"/>
        <v>0/6</v>
      </c>
      <c r="F87" s="53" t="str">
        <f t="shared" si="9"/>
        <v>0/6</v>
      </c>
      <c r="G87" s="53" t="str">
        <f t="shared" si="9"/>
        <v>0/6</v>
      </c>
      <c r="H87" s="53" t="str">
        <f t="shared" si="9"/>
        <v>0/6</v>
      </c>
      <c r="I87" s="53" t="str">
        <f t="shared" si="9"/>
        <v>0/6</v>
      </c>
      <c r="J87" s="53" t="str">
        <f t="shared" si="9"/>
        <v>0/6</v>
      </c>
      <c r="K87" s="53" t="str">
        <f t="shared" si="9"/>
        <v>0/6</v>
      </c>
      <c r="L87" s="53" t="str">
        <f t="shared" si="9"/>
        <v>0/6</v>
      </c>
      <c r="M87" s="53" t="str">
        <f t="shared" si="9"/>
        <v>0/6</v>
      </c>
      <c r="N87" s="53" t="str">
        <f t="shared" si="9"/>
        <v>0/6</v>
      </c>
      <c r="O87" s="53" t="str">
        <f t="shared" si="9"/>
        <v>0/6</v>
      </c>
      <c r="P87" s="53" t="str">
        <f t="shared" si="9"/>
        <v>0/6</v>
      </c>
      <c r="Q87" s="53" t="str">
        <f t="shared" si="9"/>
        <v>0/6</v>
      </c>
      <c r="R87" s="53" t="str">
        <f t="shared" si="9"/>
        <v>0/6</v>
      </c>
      <c r="S87" s="53" t="str">
        <f t="shared" si="9"/>
        <v>0/6</v>
      </c>
      <c r="T87" s="53" t="str">
        <f t="shared" si="9"/>
        <v>0/6</v>
      </c>
      <c r="U87" s="53" t="str">
        <f t="shared" si="9"/>
        <v>0/6</v>
      </c>
      <c r="V87" s="53" t="str">
        <f t="shared" si="9"/>
        <v>0/6</v>
      </c>
      <c r="W87" s="53" t="str">
        <f t="shared" si="9"/>
        <v>0/6</v>
      </c>
      <c r="X87" s="53" t="str">
        <f t="shared" si="9"/>
        <v>0/6</v>
      </c>
      <c r="Y87" s="53" t="str">
        <f t="shared" si="9"/>
        <v>0/6</v>
      </c>
      <c r="Z87" s="53" t="str">
        <f t="shared" si="9"/>
        <v>0/6</v>
      </c>
      <c r="AA87" s="53" t="str">
        <f t="shared" si="9"/>
        <v>0/6</v>
      </c>
      <c r="AB87" s="53" t="str">
        <f t="shared" si="9"/>
        <v>0/6</v>
      </c>
      <c r="AC87" s="53" t="str">
        <f t="shared" si="9"/>
        <v>0/6</v>
      </c>
      <c r="AD87" s="53" t="str">
        <f t="shared" si="9"/>
        <v>0/6</v>
      </c>
      <c r="AE87" s="53" t="str">
        <f t="shared" si="9"/>
        <v>0/6</v>
      </c>
      <c r="AF87" s="53" t="str">
        <f t="shared" si="9"/>
        <v>0/6</v>
      </c>
      <c r="AG87" s="53" t="str">
        <f t="shared" si="9"/>
        <v>0/6</v>
      </c>
      <c r="AH87" s="53" t="str">
        <f t="shared" si="9"/>
        <v>0/6</v>
      </c>
      <c r="AI87" s="53" t="str">
        <f t="shared" si="9"/>
        <v>0/6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0" customHeight="1">
      <c r="A88" s="54" t="s">
        <v>91</v>
      </c>
      <c r="B88" s="46" t="s">
        <v>92</v>
      </c>
      <c r="C88" s="51"/>
      <c r="D88" s="51"/>
      <c r="E88" s="51"/>
      <c r="F88" s="51"/>
      <c r="G88" s="51"/>
      <c r="H88" s="58"/>
      <c r="I88" s="58"/>
      <c r="J88" s="78"/>
      <c r="K88" s="78"/>
      <c r="L88" s="79"/>
      <c r="M88" s="78"/>
      <c r="N88" s="58"/>
      <c r="O88" s="58"/>
      <c r="P88" s="51"/>
      <c r="Q88" s="80"/>
      <c r="R88" s="51"/>
      <c r="S88" s="51"/>
      <c r="T88" s="51"/>
      <c r="U88" s="51"/>
      <c r="V88" s="79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4.25" customHeight="1">
      <c r="A89" s="30"/>
      <c r="B89" s="34" t="s">
        <v>93</v>
      </c>
      <c r="C89" s="28"/>
      <c r="D89" s="28"/>
      <c r="E89" s="28"/>
      <c r="F89" s="28"/>
      <c r="G89" s="28"/>
      <c r="H89" s="33"/>
      <c r="I89" s="33"/>
      <c r="J89" s="81"/>
      <c r="K89" s="81"/>
      <c r="L89" s="32"/>
      <c r="M89" s="82"/>
      <c r="N89" s="33"/>
      <c r="O89" s="33"/>
      <c r="P89" s="28"/>
      <c r="Q89" s="28"/>
      <c r="R89" s="28"/>
      <c r="S89" s="28"/>
      <c r="T89" s="28"/>
      <c r="U89" s="28"/>
      <c r="V89" s="32"/>
      <c r="W89" s="28"/>
      <c r="X89" s="28"/>
      <c r="Y89" s="28"/>
      <c r="Z89" s="28"/>
      <c r="AA89" s="28"/>
      <c r="AB89" s="28"/>
      <c r="AC89" s="28"/>
      <c r="AD89" s="28"/>
      <c r="AE89" s="28"/>
      <c r="AF89" s="56"/>
      <c r="AG89" s="56"/>
      <c r="AH89" s="83"/>
      <c r="AI89" s="83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4.25" customHeight="1">
      <c r="A90" s="30"/>
      <c r="B90" s="34" t="s">
        <v>94</v>
      </c>
      <c r="C90" s="28"/>
      <c r="D90" s="56"/>
      <c r="E90" s="28"/>
      <c r="F90" s="28"/>
      <c r="G90" s="28"/>
      <c r="H90" s="33"/>
      <c r="I90" s="33"/>
      <c r="J90" s="81"/>
      <c r="K90" s="81"/>
      <c r="L90" s="32"/>
      <c r="M90" s="81"/>
      <c r="N90" s="33"/>
      <c r="O90" s="33"/>
      <c r="P90" s="28"/>
      <c r="Q90" s="28"/>
      <c r="R90" s="28"/>
      <c r="S90" s="28"/>
      <c r="T90" s="28"/>
      <c r="U90" s="28"/>
      <c r="V90" s="33"/>
      <c r="W90" s="28"/>
      <c r="X90" s="28"/>
      <c r="Y90" s="28"/>
      <c r="Z90" s="28"/>
      <c r="AA90" s="28"/>
      <c r="AB90" s="28"/>
      <c r="AC90" s="28"/>
      <c r="AD90" s="28"/>
      <c r="AE90" s="28"/>
      <c r="AF90" s="56"/>
      <c r="AG90" s="56"/>
      <c r="AH90" s="56"/>
      <c r="AI90" s="56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4.25" customHeight="1">
      <c r="A91" s="30"/>
      <c r="B91" s="76" t="s">
        <v>95</v>
      </c>
      <c r="C91" s="28"/>
      <c r="D91" s="56"/>
      <c r="E91" s="28"/>
      <c r="F91" s="85"/>
      <c r="G91" s="56"/>
      <c r="H91" s="33"/>
      <c r="I91" s="85"/>
      <c r="J91" s="81"/>
      <c r="K91" s="81"/>
      <c r="L91" s="32"/>
      <c r="M91" s="81"/>
      <c r="N91" s="33"/>
      <c r="O91" s="33"/>
      <c r="P91" s="28"/>
      <c r="Q91" s="28"/>
      <c r="R91" s="28"/>
      <c r="S91" s="28"/>
      <c r="T91" s="28"/>
      <c r="U91" s="28"/>
      <c r="V91" s="32"/>
      <c r="W91" s="28"/>
      <c r="X91" s="28"/>
      <c r="Y91" s="28"/>
      <c r="Z91" s="28"/>
      <c r="AA91" s="28"/>
      <c r="AB91" s="28"/>
      <c r="AC91" s="28"/>
      <c r="AD91" s="28"/>
      <c r="AE91" s="28"/>
      <c r="AF91" s="56"/>
      <c r="AG91" s="56"/>
      <c r="AH91" s="56"/>
      <c r="AI91" s="56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4.25" customHeight="1">
      <c r="A92" s="30"/>
      <c r="B92" s="34" t="s">
        <v>96</v>
      </c>
      <c r="C92" s="28"/>
      <c r="D92" s="56"/>
      <c r="E92" s="28"/>
      <c r="F92" s="85"/>
      <c r="G92" s="56"/>
      <c r="H92" s="33"/>
      <c r="I92" s="85"/>
      <c r="J92" s="81"/>
      <c r="K92" s="81"/>
      <c r="L92" s="32"/>
      <c r="M92" s="81"/>
      <c r="N92" s="33"/>
      <c r="O92" s="33"/>
      <c r="P92" s="28"/>
      <c r="Q92" s="28"/>
      <c r="R92" s="28"/>
      <c r="S92" s="28"/>
      <c r="T92" s="28"/>
      <c r="U92" s="28"/>
      <c r="V92" s="32"/>
      <c r="W92" s="28"/>
      <c r="X92" s="28"/>
      <c r="Y92" s="28"/>
      <c r="Z92" s="28"/>
      <c r="AA92" s="28"/>
      <c r="AB92" s="28"/>
      <c r="AC92" s="28"/>
      <c r="AD92" s="28"/>
      <c r="AE92" s="28"/>
      <c r="AF92" s="56"/>
      <c r="AG92" s="56"/>
      <c r="AH92" s="56"/>
      <c r="AI92" s="56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4.25" customHeight="1">
      <c r="A93" s="30"/>
      <c r="B93" s="34" t="s">
        <v>97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66"/>
      <c r="U93" s="28"/>
      <c r="V93" s="28"/>
      <c r="W93" s="28"/>
      <c r="X93" s="28"/>
      <c r="Y93" s="28"/>
      <c r="Z93" s="66"/>
      <c r="AA93" s="28"/>
      <c r="AB93" s="28"/>
      <c r="AC93" s="28"/>
      <c r="AD93" s="28"/>
      <c r="AE93" s="86"/>
      <c r="AF93" s="28"/>
      <c r="AG93" s="28"/>
      <c r="AH93" s="28"/>
      <c r="AI93" s="28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4.25" customHeight="1">
      <c r="A94" s="30"/>
      <c r="B94" s="34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71"/>
      <c r="U94" s="56"/>
      <c r="V94" s="56"/>
      <c r="W94" s="56"/>
      <c r="X94" s="56"/>
      <c r="Y94" s="56"/>
      <c r="Z94" s="71"/>
      <c r="AA94" s="56"/>
      <c r="AB94" s="56"/>
      <c r="AC94" s="56"/>
      <c r="AD94" s="56"/>
      <c r="AE94" s="87"/>
      <c r="AF94" s="56"/>
      <c r="AG94" s="56"/>
      <c r="AH94" s="56"/>
      <c r="AI94" s="56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4.25" customHeight="1">
      <c r="A95" s="30"/>
      <c r="B95" s="34"/>
      <c r="C95" s="28"/>
      <c r="D95" s="28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71"/>
      <c r="U95" s="56"/>
      <c r="V95" s="56"/>
      <c r="W95" s="56"/>
      <c r="X95" s="56"/>
      <c r="Y95" s="56"/>
      <c r="Z95" s="71"/>
      <c r="AA95" s="56"/>
      <c r="AB95" s="56"/>
      <c r="AC95" s="56"/>
      <c r="AD95" s="56"/>
      <c r="AE95" s="87"/>
      <c r="AF95" s="56"/>
      <c r="AG95" s="56"/>
      <c r="AH95" s="56"/>
      <c r="AI95" s="56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4.25" customHeight="1">
      <c r="A96" s="30"/>
      <c r="B96" s="66"/>
      <c r="C96" s="56"/>
      <c r="D96" s="56"/>
      <c r="E96" s="56"/>
      <c r="F96" s="56"/>
      <c r="G96" s="56"/>
      <c r="H96" s="56"/>
      <c r="I96" s="56"/>
      <c r="J96" s="56"/>
      <c r="K96" s="56"/>
      <c r="L96" s="28"/>
      <c r="M96" s="56"/>
      <c r="N96" s="56"/>
      <c r="O96" s="56"/>
      <c r="P96" s="56"/>
      <c r="Q96" s="56"/>
      <c r="R96" s="56"/>
      <c r="S96" s="56"/>
      <c r="T96" s="71"/>
      <c r="U96" s="56"/>
      <c r="V96" s="56"/>
      <c r="W96" s="56"/>
      <c r="X96" s="56"/>
      <c r="Y96" s="56"/>
      <c r="Z96" s="71"/>
      <c r="AA96" s="56"/>
      <c r="AB96" s="56"/>
      <c r="AC96" s="56"/>
      <c r="AD96" s="56"/>
      <c r="AE96" s="87"/>
      <c r="AF96" s="56"/>
      <c r="AG96" s="56"/>
      <c r="AH96" s="56"/>
      <c r="AI96" s="56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4.25" customHeight="1">
      <c r="A97" s="30"/>
      <c r="B97" s="88"/>
      <c r="C97" s="56"/>
      <c r="D97" s="56"/>
      <c r="E97" s="56"/>
      <c r="F97" s="56"/>
      <c r="G97" s="56"/>
      <c r="H97" s="56"/>
      <c r="I97" s="56"/>
      <c r="J97" s="56"/>
      <c r="K97" s="56"/>
      <c r="L97" s="28"/>
      <c r="M97" s="56"/>
      <c r="N97" s="56"/>
      <c r="O97" s="56"/>
      <c r="P97" s="56"/>
      <c r="Q97" s="56"/>
      <c r="R97" s="56"/>
      <c r="S97" s="56"/>
      <c r="T97" s="71"/>
      <c r="U97" s="56"/>
      <c r="V97" s="56"/>
      <c r="W97" s="56"/>
      <c r="X97" s="56"/>
      <c r="Y97" s="56"/>
      <c r="Z97" s="71"/>
      <c r="AA97" s="56"/>
      <c r="AB97" s="56"/>
      <c r="AC97" s="56"/>
      <c r="AD97" s="56"/>
      <c r="AE97" s="87"/>
      <c r="AF97" s="56"/>
      <c r="AG97" s="56"/>
      <c r="AH97" s="56"/>
      <c r="AI97" s="56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4.25" customHeight="1">
      <c r="A98" s="30"/>
      <c r="B98" s="66"/>
      <c r="C98" s="28"/>
      <c r="D98" s="28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71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87"/>
      <c r="AF98" s="56"/>
      <c r="AG98" s="56"/>
      <c r="AH98" s="56"/>
      <c r="AI98" s="56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4.25" customHeight="1">
      <c r="A99" s="30"/>
      <c r="B99" s="66"/>
      <c r="C99" s="28"/>
      <c r="D99" s="28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56"/>
      <c r="Q99" s="56"/>
      <c r="R99" s="56"/>
      <c r="S99" s="56"/>
      <c r="T99" s="73"/>
      <c r="U99" s="70"/>
      <c r="V99" s="56"/>
      <c r="W99" s="70"/>
      <c r="X99" s="56"/>
      <c r="Y99" s="70"/>
      <c r="Z99" s="70"/>
      <c r="AA99" s="74"/>
      <c r="AB99" s="56"/>
      <c r="AC99" s="74"/>
      <c r="AD99" s="74"/>
      <c r="AE99" s="89"/>
      <c r="AF99" s="70"/>
      <c r="AG99" s="70"/>
      <c r="AH99" s="70"/>
      <c r="AI99" s="70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0" customHeight="1">
      <c r="A100" s="41"/>
      <c r="B100" s="42" t="s">
        <v>56</v>
      </c>
      <c r="C100" s="53" t="str">
        <f t="shared" ref="C100:AI100" si="10">COUNTIF(C88:C99,"○")</f>
        <v>0/6</v>
      </c>
      <c r="D100" s="53" t="str">
        <f t="shared" si="10"/>
        <v>0/6</v>
      </c>
      <c r="E100" s="53" t="str">
        <f t="shared" si="10"/>
        <v>0/6</v>
      </c>
      <c r="F100" s="53" t="str">
        <f t="shared" si="10"/>
        <v>0/6</v>
      </c>
      <c r="G100" s="53" t="str">
        <f t="shared" si="10"/>
        <v>0/6</v>
      </c>
      <c r="H100" s="53" t="str">
        <f t="shared" si="10"/>
        <v>0/6</v>
      </c>
      <c r="I100" s="53" t="str">
        <f t="shared" si="10"/>
        <v>0/6</v>
      </c>
      <c r="J100" s="53" t="str">
        <f t="shared" si="10"/>
        <v>0/6</v>
      </c>
      <c r="K100" s="53" t="str">
        <f t="shared" si="10"/>
        <v>0/6</v>
      </c>
      <c r="L100" s="53" t="str">
        <f t="shared" si="10"/>
        <v>0/6</v>
      </c>
      <c r="M100" s="53" t="str">
        <f t="shared" si="10"/>
        <v>0/6</v>
      </c>
      <c r="N100" s="53" t="str">
        <f t="shared" si="10"/>
        <v>0/6</v>
      </c>
      <c r="O100" s="53" t="str">
        <f t="shared" si="10"/>
        <v>0/6</v>
      </c>
      <c r="P100" s="53" t="str">
        <f t="shared" si="10"/>
        <v>0/6</v>
      </c>
      <c r="Q100" s="53" t="str">
        <f t="shared" si="10"/>
        <v>0/6</v>
      </c>
      <c r="R100" s="53" t="str">
        <f t="shared" si="10"/>
        <v>0/6</v>
      </c>
      <c r="S100" s="53" t="str">
        <f t="shared" si="10"/>
        <v>0/6</v>
      </c>
      <c r="T100" s="53" t="str">
        <f t="shared" si="10"/>
        <v>0/6</v>
      </c>
      <c r="U100" s="53" t="str">
        <f t="shared" si="10"/>
        <v>0/6</v>
      </c>
      <c r="V100" s="53" t="str">
        <f t="shared" si="10"/>
        <v>0/6</v>
      </c>
      <c r="W100" s="53" t="str">
        <f t="shared" si="10"/>
        <v>0/6</v>
      </c>
      <c r="X100" s="53" t="str">
        <f t="shared" si="10"/>
        <v>0/6</v>
      </c>
      <c r="Y100" s="53" t="str">
        <f t="shared" si="10"/>
        <v>0/6</v>
      </c>
      <c r="Z100" s="53" t="str">
        <f t="shared" si="10"/>
        <v>0/6</v>
      </c>
      <c r="AA100" s="53" t="str">
        <f t="shared" si="10"/>
        <v>0/6</v>
      </c>
      <c r="AB100" s="53" t="str">
        <f t="shared" si="10"/>
        <v>0/6</v>
      </c>
      <c r="AC100" s="53" t="str">
        <f t="shared" si="10"/>
        <v>0/6</v>
      </c>
      <c r="AD100" s="53" t="str">
        <f t="shared" si="10"/>
        <v>0/6</v>
      </c>
      <c r="AE100" s="53" t="str">
        <f t="shared" si="10"/>
        <v>0/6</v>
      </c>
      <c r="AF100" s="53" t="str">
        <f t="shared" si="10"/>
        <v>0/6</v>
      </c>
      <c r="AG100" s="53" t="str">
        <f t="shared" si="10"/>
        <v>0/6</v>
      </c>
      <c r="AH100" s="53" t="str">
        <f t="shared" si="10"/>
        <v>0/6</v>
      </c>
      <c r="AI100" s="53" t="str">
        <f t="shared" si="10"/>
        <v>0/6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0" customHeight="1">
      <c r="A101" s="54" t="s">
        <v>98</v>
      </c>
      <c r="B101" s="91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92"/>
      <c r="O101" s="56"/>
      <c r="P101" s="56"/>
      <c r="Q101" s="56"/>
      <c r="R101" s="56"/>
      <c r="S101" s="56"/>
      <c r="T101" s="71"/>
      <c r="U101" s="56"/>
      <c r="V101" s="52"/>
      <c r="W101" s="56"/>
      <c r="X101" s="56"/>
      <c r="Y101" s="56"/>
      <c r="Z101" s="56"/>
      <c r="AA101" s="56"/>
      <c r="AB101" s="56"/>
      <c r="AC101" s="56"/>
      <c r="AD101" s="56"/>
      <c r="AE101" s="87"/>
      <c r="AF101" s="56"/>
      <c r="AG101" s="56"/>
      <c r="AH101" s="56"/>
      <c r="AI101" s="56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4.25" customHeight="1">
      <c r="A102" s="30"/>
      <c r="B102" s="73"/>
      <c r="C102" s="56"/>
      <c r="D102" s="56"/>
      <c r="E102" s="56"/>
      <c r="F102" s="56"/>
      <c r="G102" s="56"/>
      <c r="H102" s="56"/>
      <c r="I102" s="56"/>
      <c r="J102" s="56"/>
      <c r="K102" s="56"/>
      <c r="L102" s="28"/>
      <c r="M102" s="56"/>
      <c r="N102" s="68"/>
      <c r="O102" s="56"/>
      <c r="P102" s="56"/>
      <c r="Q102" s="56"/>
      <c r="R102" s="56"/>
      <c r="S102" s="56"/>
      <c r="T102" s="71"/>
      <c r="U102" s="56"/>
      <c r="V102" s="52"/>
      <c r="W102" s="56"/>
      <c r="X102" s="56"/>
      <c r="Y102" s="56"/>
      <c r="Z102" s="56"/>
      <c r="AA102" s="56"/>
      <c r="AB102" s="56"/>
      <c r="AC102" s="56"/>
      <c r="AD102" s="56"/>
      <c r="AE102" s="87"/>
      <c r="AF102" s="56"/>
      <c r="AG102" s="56"/>
      <c r="AH102" s="56"/>
      <c r="AI102" s="56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4.25" customHeight="1">
      <c r="A103" s="30"/>
      <c r="B103" s="93"/>
      <c r="C103" s="56"/>
      <c r="D103" s="56"/>
      <c r="E103" s="56"/>
      <c r="F103" s="56"/>
      <c r="G103" s="56"/>
      <c r="H103" s="56"/>
      <c r="I103" s="56"/>
      <c r="J103" s="56"/>
      <c r="K103" s="56"/>
      <c r="L103" s="28"/>
      <c r="M103" s="56"/>
      <c r="N103" s="68"/>
      <c r="O103" s="56"/>
      <c r="P103" s="56"/>
      <c r="Q103" s="56"/>
      <c r="R103" s="56"/>
      <c r="S103" s="56"/>
      <c r="T103" s="71"/>
      <c r="U103" s="56"/>
      <c r="V103" s="52"/>
      <c r="W103" s="56"/>
      <c r="X103" s="56"/>
      <c r="Y103" s="56"/>
      <c r="Z103" s="56"/>
      <c r="AA103" s="56"/>
      <c r="AB103" s="56"/>
      <c r="AC103" s="56"/>
      <c r="AD103" s="56"/>
      <c r="AE103" s="87"/>
      <c r="AF103" s="56"/>
      <c r="AG103" s="56"/>
      <c r="AH103" s="56"/>
      <c r="AI103" s="56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4.25" customHeight="1">
      <c r="A104" s="30"/>
      <c r="B104" s="39"/>
      <c r="C104" s="56"/>
      <c r="D104" s="56"/>
      <c r="E104" s="56"/>
      <c r="F104" s="56"/>
      <c r="G104" s="56"/>
      <c r="H104" s="56"/>
      <c r="I104" s="56"/>
      <c r="J104" s="56"/>
      <c r="K104" s="56"/>
      <c r="L104" s="28"/>
      <c r="M104" s="56"/>
      <c r="N104" s="68"/>
      <c r="O104" s="56"/>
      <c r="P104" s="28"/>
      <c r="Q104" s="28"/>
      <c r="R104" s="56"/>
      <c r="S104" s="56"/>
      <c r="T104" s="71"/>
      <c r="U104" s="56"/>
      <c r="V104" s="52"/>
      <c r="W104" s="56"/>
      <c r="X104" s="56"/>
      <c r="Y104" s="56"/>
      <c r="Z104" s="56"/>
      <c r="AA104" s="56"/>
      <c r="AB104" s="56"/>
      <c r="AC104" s="56"/>
      <c r="AD104" s="56"/>
      <c r="AE104" s="87"/>
      <c r="AF104" s="56"/>
      <c r="AG104" s="56"/>
      <c r="AH104" s="56"/>
      <c r="AI104" s="56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4.25" customHeight="1">
      <c r="A105" s="30"/>
      <c r="B105" s="6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92"/>
      <c r="O105" s="56"/>
      <c r="P105" s="56"/>
      <c r="Q105" s="56"/>
      <c r="R105" s="56"/>
      <c r="S105" s="56"/>
      <c r="T105" s="71"/>
      <c r="U105" s="56"/>
      <c r="V105" s="94"/>
      <c r="W105" s="56"/>
      <c r="X105" s="56"/>
      <c r="Y105" s="56"/>
      <c r="Z105" s="56"/>
      <c r="AA105" s="56"/>
      <c r="AB105" s="56"/>
      <c r="AC105" s="56"/>
      <c r="AD105" s="56"/>
      <c r="AE105" s="87"/>
      <c r="AF105" s="56"/>
      <c r="AG105" s="56"/>
      <c r="AH105" s="56"/>
      <c r="AI105" s="56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4.25" customHeight="1">
      <c r="A106" s="30"/>
      <c r="B106" s="39"/>
      <c r="C106" s="56"/>
      <c r="D106" s="56"/>
      <c r="E106" s="56"/>
      <c r="F106" s="56"/>
      <c r="G106" s="56"/>
      <c r="H106" s="56"/>
      <c r="I106" s="56"/>
      <c r="J106" s="56"/>
      <c r="K106" s="56"/>
      <c r="L106" s="28"/>
      <c r="M106" s="56"/>
      <c r="N106" s="92"/>
      <c r="O106" s="56"/>
      <c r="P106" s="56"/>
      <c r="Q106" s="56"/>
      <c r="R106" s="56"/>
      <c r="S106" s="56"/>
      <c r="T106" s="71"/>
      <c r="U106" s="56"/>
      <c r="V106" s="94"/>
      <c r="W106" s="56"/>
      <c r="X106" s="56"/>
      <c r="Y106" s="56"/>
      <c r="Z106" s="56"/>
      <c r="AA106" s="56"/>
      <c r="AB106" s="56"/>
      <c r="AC106" s="56"/>
      <c r="AD106" s="56"/>
      <c r="AE106" s="87"/>
      <c r="AF106" s="56"/>
      <c r="AG106" s="56"/>
      <c r="AH106" s="56"/>
      <c r="AI106" s="56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4.25" customHeight="1">
      <c r="A107" s="30"/>
      <c r="B107" s="39"/>
      <c r="C107" s="56"/>
      <c r="D107" s="56"/>
      <c r="E107" s="56"/>
      <c r="F107" s="56"/>
      <c r="G107" s="56"/>
      <c r="H107" s="56"/>
      <c r="I107" s="56"/>
      <c r="J107" s="56"/>
      <c r="K107" s="56"/>
      <c r="L107" s="28"/>
      <c r="M107" s="56"/>
      <c r="N107" s="92"/>
      <c r="O107" s="56"/>
      <c r="P107" s="56"/>
      <c r="Q107" s="56"/>
      <c r="R107" s="56"/>
      <c r="S107" s="56"/>
      <c r="T107" s="71"/>
      <c r="U107" s="56"/>
      <c r="V107" s="52"/>
      <c r="W107" s="56"/>
      <c r="X107" s="56"/>
      <c r="Y107" s="56"/>
      <c r="Z107" s="56"/>
      <c r="AA107" s="56"/>
      <c r="AB107" s="56"/>
      <c r="AC107" s="56"/>
      <c r="AD107" s="56"/>
      <c r="AE107" s="87"/>
      <c r="AF107" s="56"/>
      <c r="AG107" s="56"/>
      <c r="AH107" s="56"/>
      <c r="AI107" s="56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4.25" customHeight="1">
      <c r="A108" s="30"/>
      <c r="B108" s="95"/>
      <c r="C108" s="56"/>
      <c r="D108" s="56"/>
      <c r="E108" s="56"/>
      <c r="F108" s="56"/>
      <c r="G108" s="56"/>
      <c r="H108" s="56"/>
      <c r="I108" s="56"/>
      <c r="J108" s="56"/>
      <c r="K108" s="56"/>
      <c r="L108" s="70"/>
      <c r="M108" s="56"/>
      <c r="N108" s="52"/>
      <c r="O108" s="74"/>
      <c r="P108" s="28"/>
      <c r="Q108" s="28"/>
      <c r="R108" s="56"/>
      <c r="S108" s="56"/>
      <c r="T108" s="75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87"/>
      <c r="AF108" s="56"/>
      <c r="AG108" s="56"/>
      <c r="AH108" s="56"/>
      <c r="AI108" s="56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4.25" customHeight="1">
      <c r="A109" s="30"/>
      <c r="B109" s="39"/>
      <c r="C109" s="56"/>
      <c r="D109" s="56"/>
      <c r="E109" s="56"/>
      <c r="F109" s="56"/>
      <c r="G109" s="56"/>
      <c r="H109" s="56"/>
      <c r="I109" s="56"/>
      <c r="J109" s="56"/>
      <c r="K109" s="56"/>
      <c r="L109" s="70"/>
      <c r="M109" s="56"/>
      <c r="N109" s="52"/>
      <c r="O109" s="56"/>
      <c r="P109" s="56"/>
      <c r="Q109" s="56"/>
      <c r="R109" s="56"/>
      <c r="S109" s="56"/>
      <c r="T109" s="71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87"/>
      <c r="AF109" s="56"/>
      <c r="AG109" s="56"/>
      <c r="AH109" s="28"/>
      <c r="AI109" s="56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4.25" customHeight="1">
      <c r="A110" s="30"/>
      <c r="B110" s="66"/>
      <c r="C110" s="28"/>
      <c r="D110" s="28"/>
      <c r="E110" s="56"/>
      <c r="F110" s="56"/>
      <c r="G110" s="56"/>
      <c r="H110" s="56"/>
      <c r="I110" s="56"/>
      <c r="J110" s="56"/>
      <c r="K110" s="28"/>
      <c r="L110" s="28"/>
      <c r="M110" s="56"/>
      <c r="N110" s="28"/>
      <c r="O110" s="56"/>
      <c r="P110" s="28"/>
      <c r="Q110" s="28"/>
      <c r="R110" s="56"/>
      <c r="S110" s="56"/>
      <c r="T110" s="71"/>
      <c r="U110" s="28"/>
      <c r="V110" s="56"/>
      <c r="W110" s="56"/>
      <c r="X110" s="28"/>
      <c r="Y110" s="56"/>
      <c r="Z110" s="28"/>
      <c r="AA110" s="28"/>
      <c r="AB110" s="28"/>
      <c r="AC110" s="28"/>
      <c r="AD110" s="28"/>
      <c r="AE110" s="86"/>
      <c r="AF110" s="56"/>
      <c r="AG110" s="56"/>
      <c r="AH110" s="28"/>
      <c r="AI110" s="56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4.25" customHeight="1">
      <c r="A111" s="30"/>
      <c r="B111" s="66"/>
      <c r="C111" s="28"/>
      <c r="D111" s="28"/>
      <c r="E111" s="56"/>
      <c r="F111" s="56"/>
      <c r="G111" s="56"/>
      <c r="H111" s="56"/>
      <c r="I111" s="56"/>
      <c r="J111" s="56"/>
      <c r="K111" s="28"/>
      <c r="L111" s="28"/>
      <c r="M111" s="56"/>
      <c r="N111" s="28"/>
      <c r="O111" s="56"/>
      <c r="P111" s="28"/>
      <c r="Q111" s="28"/>
      <c r="R111" s="56"/>
      <c r="S111" s="56"/>
      <c r="T111" s="71"/>
      <c r="U111" s="28"/>
      <c r="V111" s="56"/>
      <c r="W111" s="56"/>
      <c r="X111" s="56"/>
      <c r="Y111" s="56"/>
      <c r="Z111" s="28"/>
      <c r="AA111" s="28"/>
      <c r="AB111" s="28"/>
      <c r="AC111" s="28"/>
      <c r="AD111" s="28"/>
      <c r="AE111" s="87"/>
      <c r="AF111" s="56"/>
      <c r="AG111" s="56"/>
      <c r="AH111" s="56"/>
      <c r="AI111" s="56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4.25" customHeight="1">
      <c r="A112" s="30"/>
      <c r="B112" s="66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66"/>
      <c r="U112" s="28"/>
      <c r="V112" s="28"/>
      <c r="W112" s="28"/>
      <c r="X112" s="56"/>
      <c r="Y112" s="28"/>
      <c r="Z112" s="28"/>
      <c r="AA112" s="28"/>
      <c r="AB112" s="28"/>
      <c r="AC112" s="28"/>
      <c r="AD112" s="28"/>
      <c r="AE112" s="87"/>
      <c r="AF112" s="56"/>
      <c r="AG112" s="56"/>
      <c r="AH112" s="56"/>
      <c r="AI112" s="56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4.25" customHeight="1">
      <c r="A113" s="30"/>
      <c r="B113" s="66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66"/>
      <c r="U113" s="28"/>
      <c r="V113" s="28"/>
      <c r="W113" s="28"/>
      <c r="X113" s="56"/>
      <c r="Y113" s="28"/>
      <c r="Z113" s="28"/>
      <c r="AA113" s="28"/>
      <c r="AB113" s="28"/>
      <c r="AC113" s="28"/>
      <c r="AD113" s="28"/>
      <c r="AE113" s="87"/>
      <c r="AF113" s="56"/>
      <c r="AG113" s="56"/>
      <c r="AH113" s="56"/>
      <c r="AI113" s="56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4.25" customHeight="1">
      <c r="A114" s="30"/>
      <c r="B114" s="66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66"/>
      <c r="U114" s="28"/>
      <c r="V114" s="28"/>
      <c r="W114" s="28"/>
      <c r="X114" s="56"/>
      <c r="Y114" s="28"/>
      <c r="Z114" s="28"/>
      <c r="AA114" s="28"/>
      <c r="AB114" s="28"/>
      <c r="AC114" s="28"/>
      <c r="AD114" s="28"/>
      <c r="AE114" s="87"/>
      <c r="AF114" s="28"/>
      <c r="AG114" s="28"/>
      <c r="AH114" s="28"/>
      <c r="AI114" s="28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0" customHeight="1">
      <c r="A115" s="41"/>
      <c r="B115" s="42" t="s">
        <v>56</v>
      </c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7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8"/>
      <c r="AF115" s="96"/>
      <c r="AG115" s="96"/>
      <c r="AH115" s="96"/>
      <c r="AI115" s="96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</sheetData>
  <mergeCells count="8">
    <mergeCell ref="A7:A21"/>
    <mergeCell ref="A22:A33"/>
    <mergeCell ref="A101:A115"/>
    <mergeCell ref="A34:A47"/>
    <mergeCell ref="A48:A61"/>
    <mergeCell ref="A62:A74"/>
    <mergeCell ref="A75:A87"/>
    <mergeCell ref="A88:A10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43"/>
    <col customWidth="1" min="3" max="3" width="2.43"/>
    <col customWidth="1" min="4" max="4" width="2.29"/>
    <col customWidth="1" min="5" max="9" width="2.14"/>
    <col customWidth="1" min="10" max="10" width="2.43"/>
    <col customWidth="1" min="11" max="14" width="2.14"/>
    <col customWidth="1" min="15" max="15" width="2.43"/>
    <col customWidth="1" min="16" max="18" width="2.14"/>
    <col customWidth="1" min="19" max="19" width="2.43"/>
    <col customWidth="1" min="20" max="25" width="2.14"/>
    <col customWidth="1" min="26" max="26" width="3.29"/>
    <col customWidth="1" min="27" max="27" width="12.43"/>
    <col customWidth="1" min="28" max="50" width="2.43"/>
    <col customWidth="1" min="51" max="51" width="3.43"/>
    <col customWidth="1" min="52" max="52" width="12.43"/>
    <col customWidth="1" min="53" max="73" width="2.43"/>
    <col customWidth="1" min="74" max="74" width="2.14"/>
    <col customWidth="1" min="75" max="75" width="2.57"/>
    <col customWidth="1" min="76" max="76" width="9.0"/>
  </cols>
  <sheetData>
    <row r="1" ht="15.0" customHeight="1">
      <c r="A1" s="1"/>
      <c r="B1" s="99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100"/>
      <c r="AB1" s="101"/>
      <c r="AV1" s="101"/>
      <c r="AW1" s="101"/>
      <c r="AX1" s="101"/>
      <c r="AY1" s="101"/>
      <c r="AZ1" s="102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1"/>
    </row>
    <row r="2" ht="14.25" customHeight="1">
      <c r="A2" s="1"/>
      <c r="B2" s="99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10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10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1"/>
    </row>
    <row r="3" ht="13.5" customHeight="1">
      <c r="A3" s="103"/>
      <c r="B3" s="104"/>
      <c r="C3" s="105" t="s">
        <v>99</v>
      </c>
      <c r="D3" s="106"/>
      <c r="E3" s="106"/>
      <c r="F3" s="106"/>
      <c r="G3" s="106"/>
      <c r="H3" s="106"/>
      <c r="I3" s="106"/>
      <c r="J3" s="106"/>
      <c r="K3" s="106"/>
      <c r="L3" s="106"/>
      <c r="M3" s="107"/>
      <c r="N3" s="108"/>
      <c r="O3" s="105" t="s">
        <v>100</v>
      </c>
      <c r="P3" s="106"/>
      <c r="Q3" s="106"/>
      <c r="R3" s="106"/>
      <c r="S3" s="106"/>
      <c r="T3" s="106"/>
      <c r="U3" s="106"/>
      <c r="V3" s="106"/>
      <c r="W3" s="106"/>
      <c r="X3" s="106"/>
      <c r="Y3" s="109"/>
      <c r="Z3" s="107"/>
      <c r="AA3" s="110"/>
      <c r="AB3" s="107" t="s">
        <v>99</v>
      </c>
      <c r="AC3" s="106"/>
      <c r="AD3" s="106"/>
      <c r="AE3" s="106"/>
      <c r="AF3" s="106"/>
      <c r="AG3" s="106"/>
      <c r="AH3" s="106"/>
      <c r="AI3" s="106"/>
      <c r="AJ3" s="106"/>
      <c r="AK3" s="106"/>
      <c r="AL3" s="107"/>
      <c r="AM3" s="107"/>
      <c r="AN3" s="105" t="s">
        <v>100</v>
      </c>
      <c r="AO3" s="106"/>
      <c r="AP3" s="106"/>
      <c r="AQ3" s="106"/>
      <c r="AR3" s="106"/>
      <c r="AS3" s="106"/>
      <c r="AT3" s="106"/>
      <c r="AU3" s="106"/>
      <c r="AV3" s="106"/>
      <c r="AW3" s="106"/>
      <c r="AX3" s="109"/>
      <c r="AY3" s="107"/>
      <c r="AZ3" s="110"/>
      <c r="BA3" s="107" t="s">
        <v>99</v>
      </c>
      <c r="BB3" s="106"/>
      <c r="BC3" s="106"/>
      <c r="BD3" s="106"/>
      <c r="BE3" s="106"/>
      <c r="BF3" s="106"/>
      <c r="BG3" s="106"/>
      <c r="BH3" s="106"/>
      <c r="BI3" s="106"/>
      <c r="BJ3" s="106"/>
      <c r="BK3" s="107"/>
      <c r="BL3" s="107"/>
      <c r="BM3" s="105" t="s">
        <v>100</v>
      </c>
      <c r="BN3" s="106"/>
      <c r="BO3" s="106"/>
      <c r="BP3" s="106"/>
      <c r="BQ3" s="106"/>
      <c r="BR3" s="106"/>
      <c r="BS3" s="106"/>
      <c r="BT3" s="106"/>
      <c r="BU3" s="106"/>
      <c r="BV3" s="106"/>
      <c r="BW3" s="109"/>
      <c r="BX3" s="1"/>
    </row>
    <row r="4" ht="14.25" customHeight="1">
      <c r="A4" s="111"/>
      <c r="B4" s="112"/>
      <c r="C4" s="113" t="s">
        <v>101</v>
      </c>
      <c r="D4" s="114" t="s">
        <v>102</v>
      </c>
      <c r="E4" s="114" t="s">
        <v>103</v>
      </c>
      <c r="F4" s="114" t="s">
        <v>104</v>
      </c>
      <c r="G4" s="114" t="s">
        <v>105</v>
      </c>
      <c r="H4" s="114" t="s">
        <v>106</v>
      </c>
      <c r="I4" s="114" t="s">
        <v>107</v>
      </c>
      <c r="J4" s="114" t="s">
        <v>108</v>
      </c>
      <c r="K4" s="114" t="s">
        <v>109</v>
      </c>
      <c r="L4" s="114" t="s">
        <v>110</v>
      </c>
      <c r="M4" s="114" t="s">
        <v>110</v>
      </c>
      <c r="N4" s="115" t="s">
        <v>111</v>
      </c>
      <c r="O4" s="113" t="s">
        <v>101</v>
      </c>
      <c r="P4" s="114" t="s">
        <v>102</v>
      </c>
      <c r="Q4" s="114" t="s">
        <v>103</v>
      </c>
      <c r="R4" s="114" t="s">
        <v>104</v>
      </c>
      <c r="S4" s="114" t="s">
        <v>105</v>
      </c>
      <c r="T4" s="114" t="s">
        <v>106</v>
      </c>
      <c r="U4" s="114" t="s">
        <v>107</v>
      </c>
      <c r="V4" s="114" t="s">
        <v>108</v>
      </c>
      <c r="W4" s="114" t="s">
        <v>109</v>
      </c>
      <c r="X4" s="114" t="s">
        <v>110</v>
      </c>
      <c r="Y4" s="116" t="s">
        <v>112</v>
      </c>
      <c r="Z4" s="114"/>
      <c r="AA4" s="117"/>
      <c r="AB4" s="114" t="s">
        <v>101</v>
      </c>
      <c r="AC4" s="114" t="s">
        <v>102</v>
      </c>
      <c r="AD4" s="114" t="s">
        <v>103</v>
      </c>
      <c r="AE4" s="114" t="s">
        <v>104</v>
      </c>
      <c r="AF4" s="114" t="s">
        <v>105</v>
      </c>
      <c r="AG4" s="114" t="s">
        <v>106</v>
      </c>
      <c r="AH4" s="114" t="s">
        <v>107</v>
      </c>
      <c r="AI4" s="114" t="s">
        <v>108</v>
      </c>
      <c r="AJ4" s="114" t="s">
        <v>109</v>
      </c>
      <c r="AK4" s="114" t="s">
        <v>110</v>
      </c>
      <c r="AL4" s="114" t="s">
        <v>112</v>
      </c>
      <c r="AM4" s="114" t="s">
        <v>111</v>
      </c>
      <c r="AN4" s="113" t="s">
        <v>101</v>
      </c>
      <c r="AO4" s="114" t="s">
        <v>102</v>
      </c>
      <c r="AP4" s="114" t="s">
        <v>103</v>
      </c>
      <c r="AQ4" s="114" t="s">
        <v>104</v>
      </c>
      <c r="AR4" s="114" t="s">
        <v>105</v>
      </c>
      <c r="AS4" s="114" t="s">
        <v>106</v>
      </c>
      <c r="AT4" s="114" t="s">
        <v>107</v>
      </c>
      <c r="AU4" s="114" t="s">
        <v>108</v>
      </c>
      <c r="AV4" s="114" t="s">
        <v>109</v>
      </c>
      <c r="AW4" s="114" t="s">
        <v>110</v>
      </c>
      <c r="AX4" s="116" t="s">
        <v>112</v>
      </c>
      <c r="AY4" s="114"/>
      <c r="AZ4" s="117"/>
      <c r="BA4" s="114" t="s">
        <v>101</v>
      </c>
      <c r="BB4" s="114" t="s">
        <v>102</v>
      </c>
      <c r="BC4" s="114" t="s">
        <v>103</v>
      </c>
      <c r="BD4" s="114" t="s">
        <v>104</v>
      </c>
      <c r="BE4" s="114" t="s">
        <v>105</v>
      </c>
      <c r="BF4" s="114" t="s">
        <v>106</v>
      </c>
      <c r="BG4" s="114" t="s">
        <v>107</v>
      </c>
      <c r="BH4" s="114" t="s">
        <v>108</v>
      </c>
      <c r="BI4" s="114" t="s">
        <v>109</v>
      </c>
      <c r="BJ4" s="114" t="s">
        <v>110</v>
      </c>
      <c r="BK4" s="114" t="s">
        <v>112</v>
      </c>
      <c r="BL4" s="114" t="s">
        <v>111</v>
      </c>
      <c r="BM4" s="113" t="s">
        <v>101</v>
      </c>
      <c r="BN4" s="114" t="s">
        <v>102</v>
      </c>
      <c r="BO4" s="114" t="s">
        <v>103</v>
      </c>
      <c r="BP4" s="114" t="s">
        <v>104</v>
      </c>
      <c r="BQ4" s="114" t="s">
        <v>105</v>
      </c>
      <c r="BR4" s="114" t="s">
        <v>106</v>
      </c>
      <c r="BS4" s="114" t="s">
        <v>107</v>
      </c>
      <c r="BT4" s="114" t="s">
        <v>108</v>
      </c>
      <c r="BU4" s="114" t="s">
        <v>109</v>
      </c>
      <c r="BV4" s="50" t="s">
        <v>110</v>
      </c>
      <c r="BW4" s="116" t="s">
        <v>112</v>
      </c>
      <c r="BX4" s="1"/>
    </row>
    <row r="5" ht="13.5" customHeight="1">
      <c r="A5" s="118" t="s">
        <v>113</v>
      </c>
      <c r="B5" s="119" t="s">
        <v>39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20"/>
      <c r="P5" s="55"/>
      <c r="Q5" s="55"/>
      <c r="R5" s="55"/>
      <c r="S5" s="55"/>
      <c r="T5" s="55"/>
      <c r="U5" s="55"/>
      <c r="V5" s="55"/>
      <c r="W5" s="55"/>
      <c r="X5" s="55"/>
      <c r="Y5" s="121"/>
      <c r="Z5" s="118" t="s">
        <v>57</v>
      </c>
      <c r="AA5" s="120" t="s">
        <v>58</v>
      </c>
      <c r="AB5" s="122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2" t="s">
        <v>114</v>
      </c>
      <c r="AO5" s="122" t="s">
        <v>115</v>
      </c>
      <c r="AP5" s="123" t="s">
        <v>115</v>
      </c>
      <c r="AQ5" s="123" t="s">
        <v>115</v>
      </c>
      <c r="AR5" s="123"/>
      <c r="AS5" s="123"/>
      <c r="AT5" s="123"/>
      <c r="AU5" s="123"/>
      <c r="AV5" s="123"/>
      <c r="AW5" s="123"/>
      <c r="AX5" s="124"/>
      <c r="AY5" s="118" t="s">
        <v>84</v>
      </c>
      <c r="AZ5" s="81" t="s">
        <v>85</v>
      </c>
      <c r="BA5" s="122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2" t="s">
        <v>115</v>
      </c>
      <c r="BN5" s="123" t="s">
        <v>115</v>
      </c>
      <c r="BO5" s="123" t="s">
        <v>115</v>
      </c>
      <c r="BP5" s="123" t="s">
        <v>115</v>
      </c>
      <c r="BQ5" s="123"/>
      <c r="BR5" s="123"/>
      <c r="BS5" s="123"/>
      <c r="BT5" s="123"/>
      <c r="BU5" s="123"/>
      <c r="BV5" s="123"/>
      <c r="BW5" s="124"/>
      <c r="BX5" s="1"/>
    </row>
    <row r="6" ht="13.5" customHeight="1">
      <c r="A6" s="125"/>
      <c r="B6" s="126" t="s">
        <v>40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127"/>
      <c r="P6" s="32"/>
      <c r="Q6" s="32"/>
      <c r="R6" s="32"/>
      <c r="S6" s="32"/>
      <c r="T6" s="32"/>
      <c r="U6" s="32"/>
      <c r="V6" s="32"/>
      <c r="W6" s="32"/>
      <c r="X6" s="32"/>
      <c r="Y6" s="128"/>
      <c r="Z6" s="125"/>
      <c r="AA6" s="129" t="s">
        <v>59</v>
      </c>
      <c r="AB6" s="129"/>
      <c r="AC6" s="32"/>
      <c r="AD6" s="32"/>
      <c r="AE6" s="32"/>
      <c r="AF6" s="32"/>
      <c r="AG6" s="85"/>
      <c r="AH6" s="85"/>
      <c r="AI6" s="85"/>
      <c r="AJ6" s="85"/>
      <c r="AK6" s="85"/>
      <c r="AL6" s="85"/>
      <c r="AM6" s="85"/>
      <c r="AN6" s="130" t="s">
        <v>115</v>
      </c>
      <c r="AO6" s="130" t="s">
        <v>115</v>
      </c>
      <c r="AP6" s="85" t="s">
        <v>115</v>
      </c>
      <c r="AQ6" s="85" t="s">
        <v>115</v>
      </c>
      <c r="AR6" s="85"/>
      <c r="AS6" s="85"/>
      <c r="AT6" s="85"/>
      <c r="AU6" s="85"/>
      <c r="AV6" s="85"/>
      <c r="AW6" s="85"/>
      <c r="AX6" s="131"/>
      <c r="AY6" s="125"/>
      <c r="AZ6" s="33" t="s">
        <v>86</v>
      </c>
      <c r="BA6" s="130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130" t="s">
        <v>115</v>
      </c>
      <c r="BN6" s="85" t="s">
        <v>115</v>
      </c>
      <c r="BO6" s="85" t="s">
        <v>115</v>
      </c>
      <c r="BP6" s="85" t="s">
        <v>115</v>
      </c>
      <c r="BQ6" s="85"/>
      <c r="BR6" s="85"/>
      <c r="BS6" s="85"/>
      <c r="BT6" s="85"/>
      <c r="BU6" s="85"/>
      <c r="BV6" s="85"/>
      <c r="BW6" s="131"/>
      <c r="BX6" s="1"/>
    </row>
    <row r="7" ht="13.5" customHeight="1">
      <c r="A7" s="125"/>
      <c r="B7" s="132" t="s">
        <v>41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127"/>
      <c r="P7" s="32"/>
      <c r="Q7" s="32"/>
      <c r="R7" s="32"/>
      <c r="S7" s="32"/>
      <c r="T7" s="32"/>
      <c r="U7" s="32"/>
      <c r="V7" s="32"/>
      <c r="W7" s="32"/>
      <c r="X7" s="32"/>
      <c r="Y7" s="128"/>
      <c r="Z7" s="125"/>
      <c r="AA7" s="129" t="s">
        <v>60</v>
      </c>
      <c r="AB7" s="130"/>
      <c r="AC7" s="85"/>
      <c r="AD7" s="85"/>
      <c r="AE7" s="85"/>
      <c r="AF7" s="32"/>
      <c r="AG7" s="85"/>
      <c r="AH7" s="85"/>
      <c r="AI7" s="85"/>
      <c r="AJ7" s="85"/>
      <c r="AK7" s="85"/>
      <c r="AL7" s="85"/>
      <c r="AM7" s="85"/>
      <c r="AN7" s="130" t="s">
        <v>115</v>
      </c>
      <c r="AO7" s="130" t="s">
        <v>114</v>
      </c>
      <c r="AP7" s="85" t="s">
        <v>114</v>
      </c>
      <c r="AQ7" s="85" t="s">
        <v>114</v>
      </c>
      <c r="AR7" s="85"/>
      <c r="AS7" s="85"/>
      <c r="AT7" s="85"/>
      <c r="AU7" s="85"/>
      <c r="AV7" s="85"/>
      <c r="AW7" s="85"/>
      <c r="AX7" s="131"/>
      <c r="AY7" s="125"/>
      <c r="AZ7" s="33" t="s">
        <v>87</v>
      </c>
      <c r="BA7" s="130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129" t="s">
        <v>114</v>
      </c>
      <c r="BN7" s="85" t="s">
        <v>114</v>
      </c>
      <c r="BO7" s="85" t="s">
        <v>114</v>
      </c>
      <c r="BP7" s="85" t="s">
        <v>114</v>
      </c>
      <c r="BQ7" s="85"/>
      <c r="BR7" s="85"/>
      <c r="BS7" s="85"/>
      <c r="BT7" s="85"/>
      <c r="BU7" s="85"/>
      <c r="BV7" s="85"/>
      <c r="BW7" s="131"/>
      <c r="BX7" s="1"/>
    </row>
    <row r="8" ht="13.5" customHeight="1">
      <c r="A8" s="125"/>
      <c r="B8" s="132" t="s">
        <v>42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127"/>
      <c r="P8" s="32"/>
      <c r="Q8" s="32"/>
      <c r="R8" s="32"/>
      <c r="S8" s="32"/>
      <c r="T8" s="32"/>
      <c r="U8" s="32"/>
      <c r="V8" s="32"/>
      <c r="W8" s="32"/>
      <c r="X8" s="32"/>
      <c r="Y8" s="128"/>
      <c r="Z8" s="125"/>
      <c r="AA8" s="129" t="s">
        <v>61</v>
      </c>
      <c r="AB8" s="130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130" t="s">
        <v>115</v>
      </c>
      <c r="AO8" s="130" t="s">
        <v>114</v>
      </c>
      <c r="AP8" s="85" t="s">
        <v>114</v>
      </c>
      <c r="AQ8" s="85" t="s">
        <v>115</v>
      </c>
      <c r="AR8" s="85"/>
      <c r="AS8" s="85"/>
      <c r="AT8" s="85"/>
      <c r="AU8" s="85"/>
      <c r="AV8" s="85"/>
      <c r="AW8" s="85"/>
      <c r="AX8" s="131"/>
      <c r="AY8" s="125"/>
      <c r="AZ8" s="33" t="s">
        <v>88</v>
      </c>
      <c r="BA8" s="129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133"/>
      <c r="BM8" s="129" t="s">
        <v>115</v>
      </c>
      <c r="BN8" s="32" t="s">
        <v>115</v>
      </c>
      <c r="BO8" s="32" t="s">
        <v>115</v>
      </c>
      <c r="BP8" s="32" t="s">
        <v>115</v>
      </c>
      <c r="BQ8" s="32"/>
      <c r="BR8" s="32"/>
      <c r="BS8" s="32"/>
      <c r="BT8" s="32"/>
      <c r="BU8" s="32"/>
      <c r="BV8" s="32"/>
      <c r="BW8" s="131"/>
      <c r="BX8" s="1"/>
    </row>
    <row r="9" ht="13.5" customHeight="1">
      <c r="A9" s="125"/>
      <c r="B9" s="134" t="s">
        <v>43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127"/>
      <c r="P9" s="32"/>
      <c r="Q9" s="32"/>
      <c r="R9" s="32"/>
      <c r="S9" s="32"/>
      <c r="T9" s="32"/>
      <c r="U9" s="32"/>
      <c r="V9" s="32"/>
      <c r="W9" s="32"/>
      <c r="X9" s="32"/>
      <c r="Y9" s="128"/>
      <c r="Z9" s="125"/>
      <c r="AA9" s="135" t="s">
        <v>62</v>
      </c>
      <c r="AB9" s="129"/>
      <c r="AC9" s="32"/>
      <c r="AD9" s="32"/>
      <c r="AE9" s="32"/>
      <c r="AF9" s="32"/>
      <c r="AG9" s="85"/>
      <c r="AH9" s="85"/>
      <c r="AI9" s="85"/>
      <c r="AJ9" s="85"/>
      <c r="AK9" s="85"/>
      <c r="AL9" s="85"/>
      <c r="AM9" s="85"/>
      <c r="AN9" s="130" t="s">
        <v>115</v>
      </c>
      <c r="AO9" s="130" t="s">
        <v>114</v>
      </c>
      <c r="AP9" s="85" t="s">
        <v>115</v>
      </c>
      <c r="AQ9" s="85" t="s">
        <v>114</v>
      </c>
      <c r="AR9" s="136"/>
      <c r="AS9" s="136"/>
      <c r="AT9" s="136"/>
      <c r="AU9" s="136"/>
      <c r="AV9" s="136"/>
      <c r="AW9" s="136"/>
      <c r="AX9" s="131"/>
      <c r="AY9" s="125"/>
      <c r="AZ9" s="32" t="s">
        <v>89</v>
      </c>
      <c r="BA9" s="130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133"/>
      <c r="BM9" s="129" t="s">
        <v>114</v>
      </c>
      <c r="BN9" s="32" t="s">
        <v>114</v>
      </c>
      <c r="BO9" s="32" t="s">
        <v>114</v>
      </c>
      <c r="BP9" s="32" t="s">
        <v>114</v>
      </c>
      <c r="BQ9" s="32"/>
      <c r="BR9" s="32"/>
      <c r="BS9" s="32"/>
      <c r="BT9" s="32"/>
      <c r="BU9" s="32"/>
      <c r="BV9" s="32"/>
      <c r="BW9" s="128"/>
      <c r="BX9" s="1"/>
    </row>
    <row r="10" ht="13.5" customHeight="1">
      <c r="A10" s="125"/>
      <c r="B10" s="132" t="s">
        <v>44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127"/>
      <c r="P10" s="32"/>
      <c r="Q10" s="32"/>
      <c r="R10" s="32"/>
      <c r="S10" s="32"/>
      <c r="T10" s="32"/>
      <c r="U10" s="32"/>
      <c r="V10" s="32"/>
      <c r="W10" s="32"/>
      <c r="X10" s="32"/>
      <c r="Y10" s="128"/>
      <c r="Z10" s="125"/>
      <c r="AA10" s="135" t="s">
        <v>63</v>
      </c>
      <c r="AB10" s="129"/>
      <c r="AC10" s="32"/>
      <c r="AD10" s="32"/>
      <c r="AE10" s="32"/>
      <c r="AF10" s="32"/>
      <c r="AG10" s="85"/>
      <c r="AH10" s="85"/>
      <c r="AI10" s="85"/>
      <c r="AJ10" s="85"/>
      <c r="AK10" s="85"/>
      <c r="AL10" s="85"/>
      <c r="AM10" s="85"/>
      <c r="AN10" s="130" t="s">
        <v>114</v>
      </c>
      <c r="AO10" s="130" t="s">
        <v>114</v>
      </c>
      <c r="AP10" s="85" t="s">
        <v>115</v>
      </c>
      <c r="AQ10" s="85" t="s">
        <v>115</v>
      </c>
      <c r="AR10" s="136"/>
      <c r="AS10" s="136"/>
      <c r="AT10" s="136"/>
      <c r="AU10" s="136"/>
      <c r="AV10" s="136"/>
      <c r="AW10" s="136"/>
      <c r="AX10" s="137"/>
      <c r="AY10" s="125"/>
      <c r="AZ10" s="33" t="s">
        <v>90</v>
      </c>
      <c r="BA10" s="129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133"/>
      <c r="BM10" s="129" t="s">
        <v>114</v>
      </c>
      <c r="BN10" s="32" t="s">
        <v>115</v>
      </c>
      <c r="BO10" s="32" t="s">
        <v>114</v>
      </c>
      <c r="BP10" s="32" t="s">
        <v>114</v>
      </c>
      <c r="BQ10" s="32"/>
      <c r="BR10" s="32"/>
      <c r="BS10" s="32"/>
      <c r="BT10" s="32"/>
      <c r="BU10" s="32"/>
      <c r="BV10" s="32"/>
      <c r="BW10" s="128"/>
      <c r="BX10" s="1"/>
    </row>
    <row r="11" ht="13.5" customHeight="1">
      <c r="A11" s="125"/>
      <c r="B11" s="134" t="s">
        <v>45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127"/>
      <c r="P11" s="32"/>
      <c r="Q11" s="32"/>
      <c r="R11" s="32"/>
      <c r="S11" s="32"/>
      <c r="T11" s="32"/>
      <c r="U11" s="32"/>
      <c r="V11" s="32"/>
      <c r="W11" s="32"/>
      <c r="X11" s="32"/>
      <c r="Y11" s="128"/>
      <c r="Z11" s="125"/>
      <c r="AA11" s="135" t="s">
        <v>64</v>
      </c>
      <c r="AB11" s="129"/>
      <c r="AC11" s="32"/>
      <c r="AD11" s="32"/>
      <c r="AE11" s="32"/>
      <c r="AF11" s="32"/>
      <c r="AG11" s="85"/>
      <c r="AH11" s="85"/>
      <c r="AI11" s="32"/>
      <c r="AJ11" s="32"/>
      <c r="AK11" s="32"/>
      <c r="AL11" s="85"/>
      <c r="AM11" s="85"/>
      <c r="AN11" s="130" t="s">
        <v>115</v>
      </c>
      <c r="AO11" s="130" t="s">
        <v>114</v>
      </c>
      <c r="AP11" s="85" t="s">
        <v>115</v>
      </c>
      <c r="AQ11" s="85" t="s">
        <v>115</v>
      </c>
      <c r="AR11" s="136"/>
      <c r="AS11" s="32"/>
      <c r="AT11" s="32"/>
      <c r="AU11" s="32"/>
      <c r="AV11" s="32"/>
      <c r="AW11" s="32"/>
      <c r="AX11" s="131"/>
      <c r="AY11" s="125"/>
      <c r="AZ11" s="132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133"/>
      <c r="BM11" s="129"/>
      <c r="BN11" s="32"/>
      <c r="BO11" s="32"/>
      <c r="BP11" s="32"/>
      <c r="BQ11" s="32"/>
      <c r="BR11" s="32"/>
      <c r="BS11" s="32"/>
      <c r="BT11" s="32"/>
      <c r="BU11" s="32"/>
      <c r="BV11" s="32"/>
      <c r="BW11" s="128"/>
      <c r="BX11" s="1"/>
    </row>
    <row r="12" ht="13.5" customHeight="1">
      <c r="A12" s="125"/>
      <c r="B12" s="132" t="s">
        <v>46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127"/>
      <c r="P12" s="32"/>
      <c r="Q12" s="32"/>
      <c r="R12" s="32"/>
      <c r="S12" s="32"/>
      <c r="T12" s="32"/>
      <c r="U12" s="32"/>
      <c r="V12" s="32"/>
      <c r="W12" s="32"/>
      <c r="X12" s="32"/>
      <c r="Y12" s="128"/>
      <c r="Z12" s="125"/>
      <c r="AA12" s="135" t="s">
        <v>65</v>
      </c>
      <c r="AB12" s="129"/>
      <c r="AC12" s="32"/>
      <c r="AD12" s="32"/>
      <c r="AE12" s="32"/>
      <c r="AF12" s="32"/>
      <c r="AG12" s="85"/>
      <c r="AH12" s="85"/>
      <c r="AI12" s="32"/>
      <c r="AJ12" s="32"/>
      <c r="AK12" s="32"/>
      <c r="AL12" s="85"/>
      <c r="AM12" s="85"/>
      <c r="AN12" s="130" t="s">
        <v>114</v>
      </c>
      <c r="AO12" s="130" t="s">
        <v>114</v>
      </c>
      <c r="AP12" s="85" t="s">
        <v>115</v>
      </c>
      <c r="AQ12" s="85" t="s">
        <v>114</v>
      </c>
      <c r="AR12" s="32"/>
      <c r="AS12" s="32"/>
      <c r="AT12" s="32"/>
      <c r="AU12" s="32"/>
      <c r="AV12" s="32"/>
      <c r="AW12" s="32"/>
      <c r="AX12" s="137"/>
      <c r="AY12" s="125"/>
      <c r="AZ12" s="132"/>
      <c r="BA12" s="32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133"/>
      <c r="BM12" s="129"/>
      <c r="BN12" s="32"/>
      <c r="BO12" s="32"/>
      <c r="BP12" s="32"/>
      <c r="BQ12" s="32"/>
      <c r="BR12" s="32"/>
      <c r="BS12" s="32"/>
      <c r="BT12" s="32"/>
      <c r="BU12" s="32"/>
      <c r="BV12" s="32"/>
      <c r="BW12" s="128"/>
      <c r="BX12" s="1"/>
    </row>
    <row r="13" ht="13.5" customHeight="1">
      <c r="A13" s="125"/>
      <c r="B13" s="132" t="s">
        <v>47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129"/>
      <c r="P13" s="32"/>
      <c r="Q13" s="32"/>
      <c r="R13" s="32"/>
      <c r="S13" s="32"/>
      <c r="T13" s="32"/>
      <c r="U13" s="32"/>
      <c r="V13" s="32"/>
      <c r="W13" s="32"/>
      <c r="X13" s="32"/>
      <c r="Y13" s="128"/>
      <c r="Z13" s="125"/>
      <c r="AA13" s="138"/>
      <c r="AB13" s="85"/>
      <c r="AC13" s="139"/>
      <c r="AD13" s="139"/>
      <c r="AE13" s="139"/>
      <c r="AF13" s="32"/>
      <c r="AG13" s="85"/>
      <c r="AH13" s="85"/>
      <c r="AI13" s="85"/>
      <c r="AJ13" s="85"/>
      <c r="AK13" s="85"/>
      <c r="AL13" s="139"/>
      <c r="AM13" s="139"/>
      <c r="AN13" s="129"/>
      <c r="AO13" s="32"/>
      <c r="AP13" s="136"/>
      <c r="AQ13" s="136"/>
      <c r="AR13" s="136"/>
      <c r="AS13" s="136"/>
      <c r="AT13" s="136"/>
      <c r="AU13" s="136"/>
      <c r="AV13" s="136"/>
      <c r="AW13" s="136"/>
      <c r="AX13" s="137"/>
      <c r="AY13" s="125"/>
      <c r="AZ13" s="132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133"/>
      <c r="BM13" s="32"/>
      <c r="BN13" s="32"/>
      <c r="BO13" s="32"/>
      <c r="BP13" s="32"/>
      <c r="BQ13" s="32"/>
      <c r="BR13" s="32"/>
      <c r="BS13" s="85"/>
      <c r="BT13" s="85"/>
      <c r="BU13" s="85"/>
      <c r="BV13" s="85"/>
      <c r="BW13" s="128"/>
      <c r="BX13" s="1"/>
    </row>
    <row r="14" ht="13.5" customHeight="1">
      <c r="A14" s="125"/>
      <c r="B14" s="140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4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128"/>
      <c r="Z14" s="125"/>
      <c r="AA14" s="141"/>
      <c r="AB14" s="142"/>
      <c r="AC14" s="1"/>
      <c r="AD14" s="1"/>
      <c r="AE14" s="1"/>
      <c r="AF14" s="60"/>
      <c r="AG14" s="142"/>
      <c r="AH14" s="142"/>
      <c r="AI14" s="142"/>
      <c r="AJ14" s="142"/>
      <c r="AK14" s="142"/>
      <c r="AL14" s="142"/>
      <c r="AM14" s="142"/>
      <c r="AN14" s="135"/>
      <c r="AO14" s="60"/>
      <c r="AP14" s="50"/>
      <c r="AQ14" s="50"/>
      <c r="AR14" s="50"/>
      <c r="AS14" s="50"/>
      <c r="AT14" s="50"/>
      <c r="AU14" s="50"/>
      <c r="AV14" s="50"/>
      <c r="AW14" s="50"/>
      <c r="AX14" s="143"/>
      <c r="AY14" s="125"/>
      <c r="AZ14" s="132"/>
      <c r="BA14" s="85"/>
      <c r="BB14" s="32"/>
      <c r="BC14" s="32"/>
      <c r="BD14" s="32"/>
      <c r="BE14" s="32"/>
      <c r="BF14" s="32"/>
      <c r="BG14" s="32"/>
      <c r="BH14" s="32"/>
      <c r="BI14" s="32"/>
      <c r="BJ14" s="85"/>
      <c r="BK14" s="85"/>
      <c r="BL14" s="133"/>
      <c r="BM14" s="32"/>
      <c r="BN14" s="32"/>
      <c r="BO14" s="32"/>
      <c r="BP14" s="32"/>
      <c r="BQ14" s="32"/>
      <c r="BR14" s="32"/>
      <c r="BS14" s="85"/>
      <c r="BT14" s="85"/>
      <c r="BU14" s="85"/>
      <c r="BV14" s="85"/>
      <c r="BW14" s="128"/>
      <c r="BX14" s="1"/>
    </row>
    <row r="15" ht="15.0" customHeight="1">
      <c r="A15" s="125"/>
      <c r="B15" s="144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4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128"/>
      <c r="Z15" s="145"/>
      <c r="AA15" s="81"/>
      <c r="AB15" s="1"/>
      <c r="AC15" s="139"/>
      <c r="AD15" s="136"/>
      <c r="AE15" s="139"/>
      <c r="AF15" s="136"/>
      <c r="AG15" s="139"/>
      <c r="AH15" s="139"/>
      <c r="AI15" s="139"/>
      <c r="AJ15" s="139"/>
      <c r="AK15" s="136"/>
      <c r="AL15" s="136"/>
      <c r="AM15" s="4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46"/>
      <c r="AZ15" s="132"/>
      <c r="BA15" s="85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4"/>
      <c r="BM15" s="32"/>
      <c r="BN15" s="32"/>
      <c r="BO15" s="85"/>
      <c r="BP15" s="32"/>
      <c r="BQ15" s="32"/>
      <c r="BR15" s="32"/>
      <c r="BS15" s="85"/>
      <c r="BT15" s="85"/>
      <c r="BU15" s="85"/>
      <c r="BV15" s="85"/>
      <c r="BW15" s="128"/>
      <c r="BX15" s="1"/>
    </row>
    <row r="16" ht="15.0" customHeight="1">
      <c r="A16" s="125"/>
      <c r="B16" s="144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4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128"/>
      <c r="Z16" s="147">
        <v>8.0</v>
      </c>
      <c r="AA16" s="148"/>
      <c r="AB16" s="149"/>
      <c r="AC16" s="150"/>
      <c r="AD16" s="151"/>
      <c r="AE16" s="152"/>
      <c r="AF16" s="152"/>
      <c r="AG16" s="153"/>
      <c r="AH16" s="153"/>
      <c r="AI16" s="153"/>
      <c r="AJ16" s="152"/>
      <c r="AK16" s="152"/>
      <c r="AL16" s="152"/>
      <c r="AM16" s="152"/>
      <c r="AN16" s="154"/>
      <c r="AO16" s="152"/>
      <c r="AP16" s="152"/>
      <c r="AQ16" s="152"/>
      <c r="AR16" s="152"/>
      <c r="AS16" s="151"/>
      <c r="AT16" s="151"/>
      <c r="AU16" s="151"/>
      <c r="AV16" s="151"/>
      <c r="AW16" s="151"/>
      <c r="AX16" s="32"/>
      <c r="AY16" s="155">
        <v>6.0</v>
      </c>
      <c r="AZ16" s="156"/>
      <c r="BA16" s="153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34"/>
      <c r="BM16" s="152"/>
      <c r="BN16" s="152"/>
      <c r="BO16" s="152"/>
      <c r="BP16" s="152"/>
      <c r="BQ16" s="152"/>
      <c r="BR16" s="152"/>
      <c r="BS16" s="153"/>
      <c r="BT16" s="153"/>
      <c r="BU16" s="153"/>
      <c r="BV16" s="153"/>
      <c r="BW16" s="157"/>
      <c r="BX16" s="1"/>
    </row>
    <row r="17" ht="13.5" customHeight="1">
      <c r="A17" s="125"/>
      <c r="B17" s="140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158"/>
      <c r="Z17" s="159" t="s">
        <v>66</v>
      </c>
      <c r="AA17" s="81" t="s">
        <v>67</v>
      </c>
      <c r="AB17" s="50"/>
      <c r="AC17" s="136"/>
      <c r="AD17" s="136"/>
      <c r="AE17" s="136"/>
      <c r="AF17" s="136"/>
      <c r="AG17" s="139"/>
      <c r="AH17" s="139"/>
      <c r="AI17" s="139"/>
      <c r="AJ17" s="139"/>
      <c r="AK17" s="136"/>
      <c r="AL17" s="136"/>
      <c r="AM17" s="136"/>
      <c r="AN17" s="127" t="s">
        <v>115</v>
      </c>
      <c r="AO17" s="136" t="s">
        <v>115</v>
      </c>
      <c r="AP17" s="136" t="s">
        <v>115</v>
      </c>
      <c r="AQ17" s="136" t="s">
        <v>115</v>
      </c>
      <c r="AR17" s="136"/>
      <c r="AS17" s="136"/>
      <c r="AT17" s="136"/>
      <c r="AU17" s="136"/>
      <c r="AV17" s="136"/>
      <c r="AW17" s="136"/>
      <c r="AX17" s="32"/>
      <c r="AY17" s="159" t="s">
        <v>91</v>
      </c>
      <c r="AZ17" s="160" t="s">
        <v>92</v>
      </c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161"/>
      <c r="BM17" s="162" t="s">
        <v>115</v>
      </c>
      <c r="BN17" s="163" t="s">
        <v>115</v>
      </c>
      <c r="BO17" s="163" t="s">
        <v>115</v>
      </c>
      <c r="BP17" s="163" t="s">
        <v>115</v>
      </c>
      <c r="BQ17" s="163"/>
      <c r="BR17" s="163"/>
      <c r="BS17" s="163"/>
      <c r="BT17" s="163"/>
      <c r="BU17" s="163"/>
      <c r="BV17" s="163"/>
      <c r="BW17" s="164"/>
      <c r="BX17" s="1"/>
    </row>
    <row r="18" ht="13.5" customHeight="1">
      <c r="A18" s="125"/>
      <c r="B18" s="132"/>
      <c r="C18" s="136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158"/>
      <c r="Z18" s="125"/>
      <c r="AA18" s="33" t="s">
        <v>68</v>
      </c>
      <c r="AB18" s="32"/>
      <c r="AC18" s="32"/>
      <c r="AD18" s="32"/>
      <c r="AE18" s="32"/>
      <c r="AF18" s="32"/>
      <c r="AG18" s="85"/>
      <c r="AH18" s="32"/>
      <c r="AI18" s="32"/>
      <c r="AJ18" s="32"/>
      <c r="AK18" s="85"/>
      <c r="AL18" s="60"/>
      <c r="AM18" s="60"/>
      <c r="AN18" s="127" t="s">
        <v>115</v>
      </c>
      <c r="AO18" s="60" t="s">
        <v>115</v>
      </c>
      <c r="AP18" s="60" t="s">
        <v>115</v>
      </c>
      <c r="AQ18" s="60" t="s">
        <v>115</v>
      </c>
      <c r="AR18" s="60"/>
      <c r="AS18" s="50"/>
      <c r="AT18" s="50"/>
      <c r="AU18" s="50"/>
      <c r="AV18" s="50"/>
      <c r="AW18" s="50"/>
      <c r="AX18" s="60"/>
      <c r="AY18" s="125"/>
      <c r="AZ18" s="132" t="s">
        <v>93</v>
      </c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46"/>
      <c r="BM18" s="1" t="s">
        <v>115</v>
      </c>
      <c r="BN18" s="32" t="s">
        <v>115</v>
      </c>
      <c r="BO18" s="32" t="s">
        <v>115</v>
      </c>
      <c r="BP18" s="32" t="s">
        <v>115</v>
      </c>
      <c r="BQ18" s="136"/>
      <c r="BR18" s="136"/>
      <c r="BS18" s="136"/>
      <c r="BT18" s="136"/>
      <c r="BU18" s="32"/>
      <c r="BV18" s="32"/>
      <c r="BW18" s="128"/>
      <c r="BX18" s="1"/>
    </row>
    <row r="19" ht="13.5" customHeight="1">
      <c r="A19" s="125"/>
      <c r="B19" s="165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4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128"/>
      <c r="Z19" s="125"/>
      <c r="AA19" s="33" t="s">
        <v>69</v>
      </c>
      <c r="AB19" s="1"/>
      <c r="AC19" s="139"/>
      <c r="AD19" s="136"/>
      <c r="AE19" s="139"/>
      <c r="AF19" s="136"/>
      <c r="AG19" s="139"/>
      <c r="AH19" s="139"/>
      <c r="AI19" s="139"/>
      <c r="AJ19" s="139"/>
      <c r="AK19" s="136"/>
      <c r="AL19" s="136"/>
      <c r="AM19" s="46"/>
      <c r="AN19" s="127" t="s">
        <v>115</v>
      </c>
      <c r="AO19" s="136" t="s">
        <v>115</v>
      </c>
      <c r="AP19" s="136" t="s">
        <v>114</v>
      </c>
      <c r="AQ19" s="136" t="s">
        <v>115</v>
      </c>
      <c r="AR19" s="136"/>
      <c r="AS19" s="136"/>
      <c r="AT19" s="136"/>
      <c r="AU19" s="136"/>
      <c r="AV19" s="136"/>
      <c r="AW19" s="136"/>
      <c r="AX19" s="136"/>
      <c r="AY19" s="125"/>
      <c r="AZ19" s="132" t="s">
        <v>94</v>
      </c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66" t="s">
        <v>114</v>
      </c>
      <c r="BN19" s="136" t="s">
        <v>115</v>
      </c>
      <c r="BO19" s="136" t="s">
        <v>115</v>
      </c>
      <c r="BP19" s="136" t="s">
        <v>115</v>
      </c>
      <c r="BQ19" s="136"/>
      <c r="BR19" s="136"/>
      <c r="BS19" s="136"/>
      <c r="BT19" s="136"/>
      <c r="BU19" s="136"/>
      <c r="BV19" s="136"/>
      <c r="BW19" s="137"/>
      <c r="BX19" s="1"/>
    </row>
    <row r="20" ht="13.5" customHeight="1">
      <c r="A20" s="125"/>
      <c r="B20" s="165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4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128"/>
      <c r="Z20" s="125"/>
      <c r="AA20" s="32" t="s">
        <v>70</v>
      </c>
      <c r="AB20" s="130"/>
      <c r="AC20" s="139"/>
      <c r="AD20" s="136"/>
      <c r="AE20" s="32"/>
      <c r="AF20" s="32"/>
      <c r="AG20" s="85"/>
      <c r="AH20" s="85"/>
      <c r="AI20" s="85"/>
      <c r="AJ20" s="32"/>
      <c r="AK20" s="32"/>
      <c r="AL20" s="32"/>
      <c r="AM20" s="32"/>
      <c r="AN20" s="127" t="s">
        <v>114</v>
      </c>
      <c r="AO20" s="32" t="s">
        <v>114</v>
      </c>
      <c r="AP20" s="32" t="s">
        <v>114</v>
      </c>
      <c r="AQ20" s="32" t="s">
        <v>114</v>
      </c>
      <c r="AR20" s="32"/>
      <c r="AS20" s="136"/>
      <c r="AT20" s="136"/>
      <c r="AU20" s="136"/>
      <c r="AV20" s="136"/>
      <c r="AW20" s="136"/>
      <c r="AX20" s="32"/>
      <c r="AY20" s="125"/>
      <c r="AZ20" s="167" t="s">
        <v>95</v>
      </c>
      <c r="BA20" s="50"/>
      <c r="BB20" s="50"/>
      <c r="BC20" s="50"/>
      <c r="BD20" s="50"/>
      <c r="BE20" s="50"/>
      <c r="BF20" s="50"/>
      <c r="BG20" s="50"/>
      <c r="BH20" s="136"/>
      <c r="BI20" s="136"/>
      <c r="BJ20" s="136"/>
      <c r="BK20" s="136"/>
      <c r="BL20" s="136"/>
      <c r="BM20" s="166" t="s">
        <v>114</v>
      </c>
      <c r="BN20" s="136" t="s">
        <v>114</v>
      </c>
      <c r="BO20" s="136" t="s">
        <v>114</v>
      </c>
      <c r="BP20" s="136" t="s">
        <v>114</v>
      </c>
      <c r="BQ20" s="136"/>
      <c r="BR20" s="136"/>
      <c r="BS20" s="136"/>
      <c r="BT20" s="136"/>
      <c r="BU20" s="136"/>
      <c r="BV20" s="136"/>
      <c r="BW20" s="137"/>
      <c r="BX20" s="1"/>
    </row>
    <row r="21" ht="13.5" customHeight="1">
      <c r="A21" s="146"/>
      <c r="B21" s="165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4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128"/>
      <c r="Z21" s="125"/>
      <c r="AA21" s="168" t="s">
        <v>71</v>
      </c>
      <c r="AB21" s="50"/>
      <c r="AC21" s="32"/>
      <c r="AD21" s="32"/>
      <c r="AE21" s="32"/>
      <c r="AF21" s="32"/>
      <c r="AG21" s="85"/>
      <c r="AH21" s="85"/>
      <c r="AI21" s="85"/>
      <c r="AJ21" s="85"/>
      <c r="AK21" s="32"/>
      <c r="AL21" s="32"/>
      <c r="AM21" s="32"/>
      <c r="AN21" s="127" t="s">
        <v>115</v>
      </c>
      <c r="AO21" s="32" t="s">
        <v>115</v>
      </c>
      <c r="AP21" s="32" t="s">
        <v>115</v>
      </c>
      <c r="AQ21" s="32" t="s">
        <v>114</v>
      </c>
      <c r="AR21" s="32"/>
      <c r="AS21" s="136"/>
      <c r="AT21" s="136"/>
      <c r="AU21" s="136"/>
      <c r="AV21" s="136"/>
      <c r="AW21" s="136"/>
      <c r="AX21" s="32"/>
      <c r="AY21" s="125"/>
      <c r="AZ21" s="132" t="s">
        <v>96</v>
      </c>
      <c r="BA21" s="50"/>
      <c r="BB21" s="50"/>
      <c r="BC21" s="50"/>
      <c r="BD21" s="50"/>
      <c r="BE21" s="50"/>
      <c r="BF21" s="50"/>
      <c r="BG21" s="50"/>
      <c r="BH21" s="136"/>
      <c r="BI21" s="136"/>
      <c r="BJ21" s="136"/>
      <c r="BK21" s="136"/>
      <c r="BL21" s="136"/>
      <c r="BM21" s="166" t="s">
        <v>114</v>
      </c>
      <c r="BN21" s="136" t="s">
        <v>114</v>
      </c>
      <c r="BO21" s="136" t="s">
        <v>115</v>
      </c>
      <c r="BP21" s="136" t="s">
        <v>114</v>
      </c>
      <c r="BQ21" s="136"/>
      <c r="BR21" s="136"/>
      <c r="BS21" s="136"/>
      <c r="BT21" s="136"/>
      <c r="BU21" s="136"/>
      <c r="BV21" s="136"/>
      <c r="BW21" s="137"/>
      <c r="BX21" s="1"/>
    </row>
    <row r="22" ht="13.5" customHeight="1">
      <c r="A22" s="146"/>
      <c r="B22" s="169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8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158"/>
      <c r="Z22" s="125"/>
      <c r="AA22" s="33" t="s">
        <v>72</v>
      </c>
      <c r="AB22" s="32"/>
      <c r="AC22" s="32"/>
      <c r="AD22" s="32"/>
      <c r="AE22" s="32"/>
      <c r="AF22" s="32"/>
      <c r="AG22" s="85"/>
      <c r="AH22" s="32"/>
      <c r="AI22" s="32"/>
      <c r="AJ22" s="32"/>
      <c r="AK22" s="85"/>
      <c r="AL22" s="60"/>
      <c r="AM22" s="60"/>
      <c r="AN22" s="127" t="s">
        <v>115</v>
      </c>
      <c r="AO22" s="60" t="s">
        <v>115</v>
      </c>
      <c r="AP22" s="60" t="s">
        <v>114</v>
      </c>
      <c r="AQ22" s="60" t="s">
        <v>114</v>
      </c>
      <c r="AR22" s="60"/>
      <c r="AS22" s="50"/>
      <c r="AT22" s="50"/>
      <c r="AU22" s="50"/>
      <c r="AV22" s="50"/>
      <c r="AW22" s="50"/>
      <c r="AX22" s="60"/>
      <c r="AY22" s="125"/>
      <c r="AZ22" s="132" t="s">
        <v>97</v>
      </c>
      <c r="BA22" s="50"/>
      <c r="BB22" s="50"/>
      <c r="BC22" s="50"/>
      <c r="BD22" s="50"/>
      <c r="BE22" s="50"/>
      <c r="BF22" s="50"/>
      <c r="BG22" s="50"/>
      <c r="BH22" s="136"/>
      <c r="BI22" s="136"/>
      <c r="BJ22" s="136"/>
      <c r="BK22" s="136"/>
      <c r="BL22" s="136"/>
      <c r="BM22" s="166" t="s">
        <v>115</v>
      </c>
      <c r="BN22" s="136" t="s">
        <v>116</v>
      </c>
      <c r="BO22" s="136" t="s">
        <v>114</v>
      </c>
      <c r="BP22" s="136" t="s">
        <v>115</v>
      </c>
      <c r="BQ22" s="136"/>
      <c r="BR22" s="136"/>
      <c r="BS22" s="136"/>
      <c r="BT22" s="136"/>
      <c r="BU22" s="136"/>
      <c r="BV22" s="136"/>
      <c r="BW22" s="137"/>
      <c r="BX22" s="1"/>
    </row>
    <row r="23" ht="15.0" customHeight="1">
      <c r="A23" s="155">
        <v>9.0</v>
      </c>
      <c r="B23" s="170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71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7"/>
      <c r="Z23" s="125"/>
      <c r="AA23" s="33" t="s">
        <v>73</v>
      </c>
      <c r="AB23" s="136"/>
      <c r="AC23" s="136"/>
      <c r="AD23" s="136"/>
      <c r="AE23" s="136"/>
      <c r="AF23" s="136"/>
      <c r="AG23" s="139"/>
      <c r="AH23" s="139"/>
      <c r="AI23" s="139"/>
      <c r="AJ23" s="139"/>
      <c r="AK23" s="139"/>
      <c r="AL23" s="136"/>
      <c r="AM23" s="136"/>
      <c r="AN23" s="127" t="s">
        <v>115</v>
      </c>
      <c r="AO23" s="136" t="s">
        <v>115</v>
      </c>
      <c r="AP23" s="136" t="s">
        <v>115</v>
      </c>
      <c r="AQ23" s="136" t="s">
        <v>115</v>
      </c>
      <c r="AR23" s="136"/>
      <c r="AS23" s="136"/>
      <c r="AT23" s="136"/>
      <c r="AU23" s="136"/>
      <c r="AV23" s="136"/>
      <c r="AW23" s="136"/>
      <c r="AX23" s="137"/>
      <c r="AY23" s="125"/>
      <c r="AZ23" s="160"/>
      <c r="BA23" s="50"/>
      <c r="BB23" s="50"/>
      <c r="BC23" s="50"/>
      <c r="BD23" s="50"/>
      <c r="BE23" s="50"/>
      <c r="BF23" s="50"/>
      <c r="BG23" s="50"/>
      <c r="BH23" s="136"/>
      <c r="BI23" s="136"/>
      <c r="BJ23" s="136"/>
      <c r="BK23" s="136"/>
      <c r="BL23" s="136"/>
      <c r="BM23" s="16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7"/>
      <c r="BX23" s="1"/>
    </row>
    <row r="24" ht="13.5" customHeight="1">
      <c r="A24" s="146" t="s">
        <v>49</v>
      </c>
      <c r="B24" s="160" t="s">
        <v>50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172"/>
      <c r="O24" s="50" t="s">
        <v>115</v>
      </c>
      <c r="P24" s="50" t="s">
        <v>115</v>
      </c>
      <c r="Q24" s="50" t="s">
        <v>115</v>
      </c>
      <c r="R24" s="50" t="s">
        <v>115</v>
      </c>
      <c r="S24" s="50"/>
      <c r="T24" s="50"/>
      <c r="U24" s="50"/>
      <c r="V24" s="50"/>
      <c r="W24" s="50"/>
      <c r="X24" s="50"/>
      <c r="Y24" s="50"/>
      <c r="Z24" s="125"/>
      <c r="AA24" s="33" t="s">
        <v>74</v>
      </c>
      <c r="AB24" s="32"/>
      <c r="AC24" s="32"/>
      <c r="AD24" s="32"/>
      <c r="AE24" s="32"/>
      <c r="AF24" s="32"/>
      <c r="AG24" s="85"/>
      <c r="AH24" s="32"/>
      <c r="AI24" s="85"/>
      <c r="AJ24" s="85"/>
      <c r="AK24" s="139"/>
      <c r="AL24" s="32"/>
      <c r="AM24" s="32"/>
      <c r="AN24" s="127" t="s">
        <v>115</v>
      </c>
      <c r="AO24" s="32" t="s">
        <v>114</v>
      </c>
      <c r="AP24" s="32" t="s">
        <v>115</v>
      </c>
      <c r="AQ24" s="32" t="s">
        <v>115</v>
      </c>
      <c r="AR24" s="32"/>
      <c r="AS24" s="32"/>
      <c r="AT24" s="32"/>
      <c r="AU24" s="32"/>
      <c r="AV24" s="32"/>
      <c r="AW24" s="32"/>
      <c r="AX24" s="128"/>
      <c r="AY24" s="125"/>
      <c r="AZ24" s="33"/>
      <c r="BA24" s="50"/>
      <c r="BB24" s="50"/>
      <c r="BC24" s="50"/>
      <c r="BD24" s="50"/>
      <c r="BE24" s="50"/>
      <c r="BF24" s="50"/>
      <c r="BG24" s="50"/>
      <c r="BH24" s="136"/>
      <c r="BI24" s="136"/>
      <c r="BJ24" s="136"/>
      <c r="BK24" s="136"/>
      <c r="BL24" s="136"/>
      <c r="BM24" s="130"/>
      <c r="BN24" s="136"/>
      <c r="BO24" s="136"/>
      <c r="BP24" s="136"/>
      <c r="BQ24" s="136"/>
      <c r="BR24" s="136"/>
      <c r="BS24" s="136"/>
      <c r="BT24" s="136"/>
      <c r="BU24" s="136"/>
      <c r="BV24" s="136"/>
      <c r="BW24" s="137"/>
      <c r="BX24" s="1"/>
    </row>
    <row r="25" ht="14.25" customHeight="1">
      <c r="A25" s="125"/>
      <c r="B25" s="132" t="s">
        <v>51</v>
      </c>
      <c r="C25" s="32"/>
      <c r="D25" s="32"/>
      <c r="E25" s="32"/>
      <c r="F25" s="32"/>
      <c r="G25" s="32"/>
      <c r="H25" s="32"/>
      <c r="I25" s="32"/>
      <c r="J25" s="32"/>
      <c r="K25" s="50"/>
      <c r="L25" s="32"/>
      <c r="M25" s="32"/>
      <c r="N25" s="34"/>
      <c r="O25" s="50" t="s">
        <v>115</v>
      </c>
      <c r="P25" s="50" t="s">
        <v>114</v>
      </c>
      <c r="Q25" s="50" t="s">
        <v>115</v>
      </c>
      <c r="R25" s="50" t="s">
        <v>115</v>
      </c>
      <c r="S25" s="32"/>
      <c r="T25" s="32"/>
      <c r="U25" s="32"/>
      <c r="V25" s="32"/>
      <c r="W25" s="32"/>
      <c r="X25" s="50"/>
      <c r="Y25" s="32"/>
      <c r="Z25" s="125"/>
      <c r="AA25" s="33" t="s">
        <v>75</v>
      </c>
      <c r="AB25" s="32"/>
      <c r="AC25" s="32"/>
      <c r="AD25" s="32"/>
      <c r="AE25" s="32"/>
      <c r="AF25" s="32"/>
      <c r="AG25" s="85"/>
      <c r="AH25" s="32"/>
      <c r="AI25" s="32"/>
      <c r="AJ25" s="85"/>
      <c r="AK25" s="85"/>
      <c r="AL25" s="32"/>
      <c r="AM25" s="32"/>
      <c r="AN25" s="173"/>
      <c r="AO25" s="32" t="s">
        <v>115</v>
      </c>
      <c r="AP25" s="32" t="s">
        <v>115</v>
      </c>
      <c r="AQ25" s="32" t="s">
        <v>114</v>
      </c>
      <c r="AR25" s="32"/>
      <c r="AS25" s="32"/>
      <c r="AT25" s="32"/>
      <c r="AU25" s="32"/>
      <c r="AV25" s="32"/>
      <c r="AW25" s="32"/>
      <c r="AX25" s="128"/>
      <c r="AY25" s="125"/>
      <c r="AZ25" s="33"/>
      <c r="BA25" s="85"/>
      <c r="BB25" s="85"/>
      <c r="BC25" s="85"/>
      <c r="BD25" s="85"/>
      <c r="BE25" s="85"/>
      <c r="BF25" s="85"/>
      <c r="BG25" s="136"/>
      <c r="BH25" s="136"/>
      <c r="BI25" s="136"/>
      <c r="BJ25" s="136"/>
      <c r="BK25" s="136"/>
      <c r="BL25" s="136"/>
      <c r="BM25" s="174"/>
      <c r="BN25" s="136"/>
      <c r="BO25" s="136"/>
      <c r="BP25" s="136"/>
      <c r="BQ25" s="136"/>
      <c r="BR25" s="136"/>
      <c r="BS25" s="136"/>
      <c r="BT25" s="136"/>
      <c r="BU25" s="136"/>
      <c r="BV25" s="136"/>
      <c r="BW25" s="137"/>
      <c r="BX25" s="1"/>
    </row>
    <row r="26" ht="13.5" customHeight="1">
      <c r="A26" s="125"/>
      <c r="B26" s="132" t="s">
        <v>52</v>
      </c>
      <c r="C26" s="32"/>
      <c r="D26" s="32"/>
      <c r="E26" s="32"/>
      <c r="F26" s="32"/>
      <c r="G26" s="32"/>
      <c r="H26" s="32"/>
      <c r="I26" s="32"/>
      <c r="J26" s="50"/>
      <c r="K26" s="32"/>
      <c r="L26" s="50"/>
      <c r="M26" s="32"/>
      <c r="N26" s="34"/>
      <c r="O26" s="50" t="s">
        <v>114</v>
      </c>
      <c r="P26" s="50" t="s">
        <v>115</v>
      </c>
      <c r="Q26" s="50" t="s">
        <v>115</v>
      </c>
      <c r="R26" s="50" t="s">
        <v>114</v>
      </c>
      <c r="S26" s="32"/>
      <c r="T26" s="32"/>
      <c r="U26" s="32"/>
      <c r="V26" s="32"/>
      <c r="W26" s="32"/>
      <c r="X26" s="50"/>
      <c r="Y26" s="32"/>
      <c r="Z26" s="125"/>
      <c r="AA26" s="33" t="s">
        <v>76</v>
      </c>
      <c r="AB26" s="60"/>
      <c r="AC26" s="60"/>
      <c r="AD26" s="60"/>
      <c r="AE26" s="60"/>
      <c r="AF26" s="60"/>
      <c r="AG26" s="142"/>
      <c r="AH26" s="32"/>
      <c r="AI26" s="32"/>
      <c r="AJ26" s="85"/>
      <c r="AK26" s="85"/>
      <c r="AL26" s="60"/>
      <c r="AM26" s="60"/>
      <c r="AN26" s="173"/>
      <c r="AO26" s="60" t="s">
        <v>115</v>
      </c>
      <c r="AP26" s="60" t="s">
        <v>114</v>
      </c>
      <c r="AQ26" s="60" t="s">
        <v>115</v>
      </c>
      <c r="AR26" s="60"/>
      <c r="AS26" s="60"/>
      <c r="AT26" s="32"/>
      <c r="AU26" s="32"/>
      <c r="AV26" s="32"/>
      <c r="AW26" s="32"/>
      <c r="AX26" s="158"/>
      <c r="AY26" s="125"/>
      <c r="AZ26" s="33"/>
      <c r="BA26" s="32"/>
      <c r="BB26" s="85"/>
      <c r="BC26" s="32"/>
      <c r="BD26" s="32"/>
      <c r="BE26" s="32"/>
      <c r="BF26" s="32"/>
      <c r="BG26" s="136"/>
      <c r="BH26" s="136"/>
      <c r="BI26" s="136"/>
      <c r="BJ26" s="136"/>
      <c r="BK26" s="136"/>
      <c r="BL26" s="136"/>
      <c r="BM26" s="166"/>
      <c r="BN26" s="136"/>
      <c r="BO26" s="136"/>
      <c r="BP26" s="136"/>
      <c r="BQ26" s="136"/>
      <c r="BR26" s="136"/>
      <c r="BS26" s="136"/>
      <c r="BT26" s="136"/>
      <c r="BU26" s="136"/>
      <c r="BV26" s="136"/>
      <c r="BW26" s="137"/>
      <c r="BX26" s="1"/>
    </row>
    <row r="27" ht="13.5" customHeight="1">
      <c r="A27" s="125"/>
      <c r="B27" s="132" t="s">
        <v>53</v>
      </c>
      <c r="C27" s="32"/>
      <c r="D27" s="32"/>
      <c r="E27" s="32"/>
      <c r="F27" s="32"/>
      <c r="G27" s="32"/>
      <c r="H27" s="32"/>
      <c r="I27" s="32"/>
      <c r="J27" s="32"/>
      <c r="K27" s="50"/>
      <c r="L27" s="32"/>
      <c r="M27" s="32"/>
      <c r="N27" s="34"/>
      <c r="O27" s="50" t="s">
        <v>115</v>
      </c>
      <c r="P27" s="50" t="s">
        <v>114</v>
      </c>
      <c r="Q27" s="50" t="s">
        <v>115</v>
      </c>
      <c r="R27" s="50" t="s">
        <v>114</v>
      </c>
      <c r="S27" s="32"/>
      <c r="T27" s="32"/>
      <c r="U27" s="32"/>
      <c r="V27" s="32"/>
      <c r="W27" s="32"/>
      <c r="X27" s="32"/>
      <c r="Y27" s="32"/>
      <c r="Z27" s="125"/>
      <c r="AA27" s="168" t="s">
        <v>117</v>
      </c>
      <c r="AB27" s="129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175"/>
      <c r="AO27" s="176"/>
      <c r="AP27" s="32" t="s">
        <v>115</v>
      </c>
      <c r="AQ27" s="32" t="s">
        <v>114</v>
      </c>
      <c r="AR27" s="32"/>
      <c r="AS27" s="32"/>
      <c r="AT27" s="32"/>
      <c r="AU27" s="32"/>
      <c r="AV27" s="32"/>
      <c r="AW27" s="32"/>
      <c r="AX27" s="32"/>
      <c r="AY27" s="125"/>
      <c r="AZ27" s="177"/>
      <c r="BA27" s="166"/>
      <c r="BB27" s="60"/>
      <c r="BC27" s="60"/>
      <c r="BD27" s="60"/>
      <c r="BE27" s="60"/>
      <c r="BF27" s="60"/>
      <c r="BG27" s="60"/>
      <c r="BH27" s="60"/>
      <c r="BI27" s="60"/>
      <c r="BJ27" s="60"/>
      <c r="BK27" s="142"/>
      <c r="BL27" s="142"/>
      <c r="BM27" s="166"/>
      <c r="BN27" s="60"/>
      <c r="BO27" s="60"/>
      <c r="BP27" s="60"/>
      <c r="BQ27" s="60"/>
      <c r="BR27" s="60"/>
      <c r="BS27" s="60"/>
      <c r="BT27" s="60"/>
      <c r="BU27" s="60"/>
      <c r="BV27" s="142"/>
      <c r="BW27" s="178"/>
      <c r="BX27" s="1"/>
    </row>
    <row r="28" ht="13.5" customHeight="1">
      <c r="A28" s="125"/>
      <c r="B28" s="132" t="s">
        <v>54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4"/>
      <c r="O28" s="50" t="s">
        <v>115</v>
      </c>
      <c r="P28" s="50" t="s">
        <v>115</v>
      </c>
      <c r="Q28" s="50" t="s">
        <v>115</v>
      </c>
      <c r="R28" s="50" t="s">
        <v>114</v>
      </c>
      <c r="S28" s="32"/>
      <c r="T28" s="32"/>
      <c r="U28" s="32"/>
      <c r="V28" s="32"/>
      <c r="W28" s="32"/>
      <c r="X28" s="32"/>
      <c r="Y28" s="32"/>
      <c r="Z28" s="125"/>
      <c r="AA28" s="33" t="s">
        <v>118</v>
      </c>
      <c r="AB28" s="129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175"/>
      <c r="AO28" s="176"/>
      <c r="AP28" s="32" t="s">
        <v>115</v>
      </c>
      <c r="AQ28" s="32" t="s">
        <v>115</v>
      </c>
      <c r="AR28" s="32"/>
      <c r="AS28" s="32"/>
      <c r="AT28" s="32"/>
      <c r="AU28" s="32"/>
      <c r="AV28" s="32"/>
      <c r="AW28" s="32"/>
      <c r="AX28" s="32"/>
      <c r="AY28" s="146"/>
      <c r="AZ28" s="179"/>
      <c r="BA28" s="180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46"/>
      <c r="BM28" s="139"/>
      <c r="BN28" s="136"/>
      <c r="BO28" s="136"/>
      <c r="BP28" s="136"/>
      <c r="BQ28" s="136"/>
      <c r="BR28" s="136"/>
      <c r="BS28" s="136"/>
      <c r="BT28" s="136"/>
      <c r="BU28" s="136"/>
      <c r="BV28" s="136"/>
      <c r="BW28" s="137"/>
      <c r="BX28" s="1"/>
    </row>
    <row r="29" ht="15.0" customHeight="1">
      <c r="A29" s="125"/>
      <c r="B29" s="126" t="s">
        <v>55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4"/>
      <c r="O29" s="50" t="s">
        <v>115</v>
      </c>
      <c r="P29" s="50" t="s">
        <v>115</v>
      </c>
      <c r="Q29" s="50" t="s">
        <v>115</v>
      </c>
      <c r="R29" s="50" t="s">
        <v>114</v>
      </c>
      <c r="S29" s="32"/>
      <c r="T29" s="32"/>
      <c r="U29" s="32"/>
      <c r="V29" s="32"/>
      <c r="W29" s="32"/>
      <c r="X29" s="32"/>
      <c r="Y29" s="32"/>
      <c r="Z29" s="181">
        <v>8.0</v>
      </c>
      <c r="AA29" s="152" t="s">
        <v>119</v>
      </c>
      <c r="AB29" s="18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83"/>
      <c r="AO29" s="184"/>
      <c r="AP29" s="152" t="s">
        <v>114</v>
      </c>
      <c r="AQ29" s="152" t="s">
        <v>115</v>
      </c>
      <c r="AR29" s="152"/>
      <c r="AS29" s="152"/>
      <c r="AT29" s="152"/>
      <c r="AU29" s="152"/>
      <c r="AV29" s="152"/>
      <c r="AW29" s="152"/>
      <c r="AX29" s="157"/>
      <c r="AY29" s="155">
        <v>6.0</v>
      </c>
      <c r="AZ29" s="185"/>
      <c r="BA29" s="182"/>
      <c r="BB29" s="152"/>
      <c r="BC29" s="152"/>
      <c r="BD29" s="151"/>
      <c r="BE29" s="151"/>
      <c r="BF29" s="152"/>
      <c r="BG29" s="152"/>
      <c r="BH29" s="152"/>
      <c r="BI29" s="152"/>
      <c r="BJ29" s="152"/>
      <c r="BK29" s="152"/>
      <c r="BL29" s="171"/>
      <c r="BM29" s="152"/>
      <c r="BN29" s="151"/>
      <c r="BO29" s="151"/>
      <c r="BP29" s="151"/>
      <c r="BQ29" s="151"/>
      <c r="BR29" s="151"/>
      <c r="BS29" s="152"/>
      <c r="BT29" s="152"/>
      <c r="BU29" s="152"/>
      <c r="BV29" s="152"/>
      <c r="BW29" s="157"/>
      <c r="BX29" s="1"/>
    </row>
    <row r="30" ht="13.5" customHeight="1">
      <c r="A30" s="125"/>
      <c r="B30" s="126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4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159" t="s">
        <v>77</v>
      </c>
      <c r="AA30" s="82" t="s">
        <v>78</v>
      </c>
      <c r="AB30" s="127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27" t="s">
        <v>115</v>
      </c>
      <c r="AO30" s="136" t="s">
        <v>115</v>
      </c>
      <c r="AP30" s="136" t="s">
        <v>115</v>
      </c>
      <c r="AQ30" s="136" t="s">
        <v>115</v>
      </c>
      <c r="AR30" s="136"/>
      <c r="AS30" s="136"/>
      <c r="AT30" s="136"/>
      <c r="AU30" s="136"/>
      <c r="AV30" s="136"/>
      <c r="AW30" s="136"/>
      <c r="AX30" s="136"/>
      <c r="AY30" s="145" t="s">
        <v>98</v>
      </c>
      <c r="AZ30" s="186"/>
      <c r="BA30" s="127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4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7"/>
      <c r="BX30" s="1"/>
    </row>
    <row r="31" ht="13.5" customHeight="1">
      <c r="A31" s="146"/>
      <c r="B31" s="1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4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125"/>
      <c r="AA31" s="33" t="s">
        <v>79</v>
      </c>
      <c r="AB31" s="129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127" t="s">
        <v>115</v>
      </c>
      <c r="AO31" s="32" t="s">
        <v>115</v>
      </c>
      <c r="AP31" s="32" t="s">
        <v>115</v>
      </c>
      <c r="AQ31" s="32" t="s">
        <v>115</v>
      </c>
      <c r="AR31" s="32"/>
      <c r="AS31" s="32"/>
      <c r="AT31" s="32"/>
      <c r="AU31" s="32"/>
      <c r="AV31" s="32"/>
      <c r="AW31" s="32"/>
      <c r="AX31" s="32"/>
      <c r="AY31" s="125"/>
      <c r="AZ31" s="187"/>
      <c r="BA31" s="129"/>
      <c r="BB31" s="32"/>
      <c r="BC31" s="32"/>
      <c r="BD31" s="32"/>
      <c r="BE31" s="32"/>
      <c r="BF31" s="32"/>
      <c r="BG31" s="32"/>
      <c r="BH31" s="32"/>
      <c r="BI31" s="32"/>
      <c r="BJ31" s="136"/>
      <c r="BK31" s="32"/>
      <c r="BL31" s="46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128"/>
      <c r="BX31" s="1"/>
    </row>
    <row r="32" ht="15.75" customHeight="1">
      <c r="A32" s="188"/>
      <c r="B32" s="132"/>
      <c r="C32" s="85"/>
      <c r="D32" s="1"/>
      <c r="E32" s="32"/>
      <c r="F32" s="32"/>
      <c r="G32" s="32"/>
      <c r="H32" s="32"/>
      <c r="I32" s="32"/>
      <c r="J32" s="32"/>
      <c r="K32" s="32"/>
      <c r="L32" s="32"/>
      <c r="M32" s="32"/>
      <c r="N32" s="34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125"/>
      <c r="AA32" s="33" t="s">
        <v>80</v>
      </c>
      <c r="AB32" s="129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127" t="s">
        <v>115</v>
      </c>
      <c r="AO32" s="32" t="s">
        <v>115</v>
      </c>
      <c r="AP32" s="32" t="s">
        <v>114</v>
      </c>
      <c r="AQ32" s="32" t="s">
        <v>114</v>
      </c>
      <c r="AR32" s="32"/>
      <c r="AS32" s="32"/>
      <c r="AT32" s="32"/>
      <c r="AU32" s="32"/>
      <c r="AV32" s="32"/>
      <c r="AW32" s="32"/>
      <c r="AX32" s="32"/>
      <c r="AY32" s="125"/>
      <c r="AZ32" s="129"/>
      <c r="BA32" s="129"/>
      <c r="BB32" s="32"/>
      <c r="BC32" s="32"/>
      <c r="BD32" s="32"/>
      <c r="BE32" s="32"/>
      <c r="BF32" s="32"/>
      <c r="BG32" s="32"/>
      <c r="BH32" s="32"/>
      <c r="BI32" s="32"/>
      <c r="BJ32" s="136"/>
      <c r="BK32" s="32"/>
      <c r="BL32" s="46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128"/>
      <c r="BX32" s="1"/>
    </row>
    <row r="33" ht="13.5" customHeight="1">
      <c r="A33" s="188"/>
      <c r="B33" s="132"/>
      <c r="C33" s="142"/>
      <c r="D33" s="85"/>
      <c r="E33" s="32"/>
      <c r="F33" s="32"/>
      <c r="G33" s="32"/>
      <c r="H33" s="32"/>
      <c r="I33" s="32"/>
      <c r="J33" s="32"/>
      <c r="K33" s="32"/>
      <c r="L33" s="32"/>
      <c r="M33" s="60"/>
      <c r="N33" s="84"/>
      <c r="O33" s="32"/>
      <c r="P33" s="136"/>
      <c r="Q33" s="136"/>
      <c r="R33" s="136"/>
      <c r="S33" s="32"/>
      <c r="T33" s="32"/>
      <c r="U33" s="32"/>
      <c r="V33" s="32"/>
      <c r="W33" s="32"/>
      <c r="X33" s="32"/>
      <c r="Y33" s="136"/>
      <c r="Z33" s="125"/>
      <c r="AA33" s="189" t="s">
        <v>81</v>
      </c>
      <c r="AB33" s="166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127" t="s">
        <v>114</v>
      </c>
      <c r="AO33" s="32" t="s">
        <v>114</v>
      </c>
      <c r="AP33" s="32" t="s">
        <v>114</v>
      </c>
      <c r="AQ33" s="32" t="s">
        <v>114</v>
      </c>
      <c r="AR33" s="32"/>
      <c r="AS33" s="32"/>
      <c r="AT33" s="32"/>
      <c r="AU33" s="32"/>
      <c r="AV33" s="32"/>
      <c r="AW33" s="32"/>
      <c r="AX33" s="60"/>
      <c r="AY33" s="125"/>
      <c r="AZ33" s="187"/>
      <c r="BA33" s="129"/>
      <c r="BB33" s="32"/>
      <c r="BC33" s="32"/>
      <c r="BD33" s="32"/>
      <c r="BE33" s="32"/>
      <c r="BF33" s="32"/>
      <c r="BG33" s="32"/>
      <c r="BH33" s="32"/>
      <c r="BI33" s="32"/>
      <c r="BJ33" s="136"/>
      <c r="BK33" s="32"/>
      <c r="BL33" s="46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128"/>
      <c r="BX33" s="1"/>
    </row>
    <row r="34" ht="13.5" customHeight="1">
      <c r="A34" s="188"/>
      <c r="B34" s="165"/>
      <c r="C34" s="142"/>
      <c r="D34" s="32"/>
      <c r="E34" s="32"/>
      <c r="F34" s="32"/>
      <c r="G34" s="32"/>
      <c r="H34" s="32"/>
      <c r="I34" s="32"/>
      <c r="J34" s="32"/>
      <c r="K34" s="32"/>
      <c r="L34" s="136"/>
      <c r="M34" s="136"/>
      <c r="N34" s="136"/>
      <c r="O34" s="129"/>
      <c r="P34" s="136"/>
      <c r="Q34" s="136"/>
      <c r="R34" s="136"/>
      <c r="S34" s="50"/>
      <c r="T34" s="136"/>
      <c r="U34" s="136"/>
      <c r="V34" s="136"/>
      <c r="W34" s="32"/>
      <c r="X34" s="32"/>
      <c r="Y34" s="136"/>
      <c r="Z34" s="125"/>
      <c r="AA34" s="189" t="s">
        <v>82</v>
      </c>
      <c r="AB34" s="166"/>
      <c r="AC34" s="32"/>
      <c r="AD34" s="32"/>
      <c r="AE34" s="32"/>
      <c r="AF34" s="32"/>
      <c r="AG34" s="32"/>
      <c r="AH34" s="32"/>
      <c r="AI34" s="32"/>
      <c r="AJ34" s="32"/>
      <c r="AK34" s="32"/>
      <c r="AL34" s="60"/>
      <c r="AM34" s="60"/>
      <c r="AN34" s="127" t="s">
        <v>115</v>
      </c>
      <c r="AO34" s="32" t="s">
        <v>114</v>
      </c>
      <c r="AP34" s="32" t="s">
        <v>114</v>
      </c>
      <c r="AQ34" s="32" t="s">
        <v>114</v>
      </c>
      <c r="AR34" s="32"/>
      <c r="AS34" s="32"/>
      <c r="AT34" s="32"/>
      <c r="AU34" s="32"/>
      <c r="AV34" s="32"/>
      <c r="AW34" s="32"/>
      <c r="AX34" s="128"/>
      <c r="AY34" s="125"/>
      <c r="AZ34" s="187"/>
      <c r="BA34" s="129"/>
      <c r="BB34" s="32"/>
      <c r="BC34" s="32"/>
      <c r="BD34" s="32"/>
      <c r="BE34" s="32"/>
      <c r="BF34" s="32"/>
      <c r="BG34" s="32"/>
      <c r="BH34" s="32"/>
      <c r="BI34" s="32"/>
      <c r="BJ34" s="136"/>
      <c r="BK34" s="32"/>
      <c r="BL34" s="46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128"/>
      <c r="BX34" s="1"/>
    </row>
    <row r="35" ht="13.5" customHeight="1">
      <c r="A35" s="188"/>
      <c r="B35" s="132"/>
      <c r="C35" s="85"/>
      <c r="D35" s="32"/>
      <c r="E35" s="32"/>
      <c r="F35" s="60"/>
      <c r="G35" s="32"/>
      <c r="H35" s="32"/>
      <c r="I35" s="32"/>
      <c r="J35" s="32"/>
      <c r="K35" s="32"/>
      <c r="L35" s="136"/>
      <c r="M35" s="136"/>
      <c r="N35" s="136"/>
      <c r="O35" s="129"/>
      <c r="P35" s="32"/>
      <c r="Q35" s="136"/>
      <c r="R35" s="136"/>
      <c r="S35" s="32"/>
      <c r="T35" s="136"/>
      <c r="U35" s="136"/>
      <c r="V35" s="32"/>
      <c r="W35" s="32"/>
      <c r="X35" s="32"/>
      <c r="Y35" s="136"/>
      <c r="Z35" s="125"/>
      <c r="AA35" s="33" t="s">
        <v>83</v>
      </c>
      <c r="AB35" s="166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173"/>
      <c r="AO35" s="32" t="s">
        <v>116</v>
      </c>
      <c r="AP35" s="32" t="s">
        <v>114</v>
      </c>
      <c r="AQ35" s="32" t="s">
        <v>114</v>
      </c>
      <c r="AR35" s="32"/>
      <c r="AS35" s="32"/>
      <c r="AT35" s="32"/>
      <c r="AU35" s="32"/>
      <c r="AV35" s="32"/>
      <c r="AW35" s="32"/>
      <c r="AX35" s="128"/>
      <c r="AY35" s="125"/>
      <c r="AZ35" s="187"/>
      <c r="BA35" s="129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4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128"/>
      <c r="BX35" s="1"/>
    </row>
    <row r="36" ht="13.5" customHeight="1">
      <c r="A36" s="188"/>
      <c r="B36" s="132"/>
      <c r="C36" s="32"/>
      <c r="D36" s="32"/>
      <c r="E36" s="32"/>
      <c r="F36" s="32"/>
      <c r="G36" s="32"/>
      <c r="H36" s="32"/>
      <c r="I36" s="32"/>
      <c r="J36" s="32"/>
      <c r="K36" s="32"/>
      <c r="L36" s="136"/>
      <c r="M36" s="136"/>
      <c r="N36" s="32"/>
      <c r="O36" s="127"/>
      <c r="P36" s="136"/>
      <c r="Q36" s="136"/>
      <c r="R36" s="32"/>
      <c r="S36" s="136"/>
      <c r="T36" s="136"/>
      <c r="U36" s="136"/>
      <c r="V36" s="136"/>
      <c r="W36" s="136"/>
      <c r="X36" s="32"/>
      <c r="Y36" s="32"/>
      <c r="Z36" s="125"/>
      <c r="AA36" s="189"/>
      <c r="AB36" s="130"/>
      <c r="AC36" s="32"/>
      <c r="AD36" s="32"/>
      <c r="AE36" s="32"/>
      <c r="AF36" s="32"/>
      <c r="AG36" s="32"/>
      <c r="AH36" s="32"/>
      <c r="AI36" s="32"/>
      <c r="AJ36" s="32"/>
      <c r="AK36" s="32"/>
      <c r="AL36" s="136"/>
      <c r="AM36" s="136"/>
      <c r="AN36" s="127"/>
      <c r="AO36" s="136"/>
      <c r="AP36" s="32"/>
      <c r="AQ36" s="32"/>
      <c r="AR36" s="32"/>
      <c r="AS36" s="32"/>
      <c r="AT36" s="32"/>
      <c r="AU36" s="32"/>
      <c r="AV36" s="32"/>
      <c r="AW36" s="32"/>
      <c r="AX36" s="136"/>
      <c r="AY36" s="125"/>
      <c r="AZ36" s="187"/>
      <c r="BA36" s="129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4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128"/>
      <c r="BX36" s="50"/>
    </row>
    <row r="37" ht="13.5" customHeight="1">
      <c r="A37" s="188"/>
      <c r="B37" s="1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136"/>
      <c r="N37" s="32"/>
      <c r="O37" s="127"/>
      <c r="P37" s="136"/>
      <c r="Q37" s="32"/>
      <c r="R37" s="32"/>
      <c r="S37" s="32"/>
      <c r="T37" s="32"/>
      <c r="U37" s="32"/>
      <c r="V37" s="32"/>
      <c r="W37" s="60"/>
      <c r="X37" s="32"/>
      <c r="Y37" s="136"/>
      <c r="Z37" s="125"/>
      <c r="AA37" s="189"/>
      <c r="AB37" s="130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129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125"/>
      <c r="AZ37" s="187"/>
      <c r="BA37" s="129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4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128"/>
      <c r="BX37" s="1"/>
    </row>
    <row r="38" ht="13.5" customHeight="1">
      <c r="A38" s="188"/>
      <c r="B38" s="190"/>
      <c r="C38" s="136"/>
      <c r="D38" s="32"/>
      <c r="E38" s="32"/>
      <c r="F38" s="32"/>
      <c r="G38" s="32"/>
      <c r="H38" s="32"/>
      <c r="I38" s="32"/>
      <c r="J38" s="32"/>
      <c r="K38" s="32"/>
      <c r="L38" s="32"/>
      <c r="M38" s="60"/>
      <c r="N38" s="60"/>
      <c r="O38" s="129"/>
      <c r="P38" s="136"/>
      <c r="Q38" s="136"/>
      <c r="R38" s="136"/>
      <c r="S38" s="136"/>
      <c r="T38" s="136"/>
      <c r="U38" s="136"/>
      <c r="V38" s="136"/>
      <c r="W38" s="136"/>
      <c r="X38" s="136"/>
      <c r="Y38" s="158"/>
      <c r="Z38" s="125"/>
      <c r="AA38" s="189"/>
      <c r="AB38" s="166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60"/>
      <c r="AN38" s="135"/>
      <c r="AO38" s="60"/>
      <c r="AP38" s="60"/>
      <c r="AQ38" s="60"/>
      <c r="AR38" s="32"/>
      <c r="AS38" s="32"/>
      <c r="AT38" s="32"/>
      <c r="AU38" s="32"/>
      <c r="AV38" s="32"/>
      <c r="AW38" s="32"/>
      <c r="AX38" s="60"/>
      <c r="AY38" s="125"/>
      <c r="AZ38" s="187"/>
      <c r="BA38" s="129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4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128"/>
      <c r="BX38" s="1"/>
    </row>
    <row r="39" ht="13.5" customHeight="1">
      <c r="A39" s="188"/>
      <c r="B39" s="140"/>
      <c r="C39" s="142"/>
      <c r="D39" s="142"/>
      <c r="E39" s="142"/>
      <c r="F39" s="60"/>
      <c r="G39" s="32"/>
      <c r="H39" s="60"/>
      <c r="I39" s="32"/>
      <c r="J39" s="32"/>
      <c r="K39" s="32"/>
      <c r="L39" s="32"/>
      <c r="M39" s="32"/>
      <c r="N39" s="60"/>
      <c r="O39" s="135"/>
      <c r="P39" s="60"/>
      <c r="Q39" s="60"/>
      <c r="R39" s="60"/>
      <c r="S39" s="60"/>
      <c r="T39" s="60"/>
      <c r="U39" s="60"/>
      <c r="V39" s="136"/>
      <c r="W39" s="136"/>
      <c r="X39" s="60"/>
      <c r="Y39" s="158"/>
      <c r="Z39" s="125"/>
      <c r="AA39" s="191"/>
      <c r="AB39" s="166"/>
      <c r="AC39" s="32"/>
      <c r="AD39" s="32"/>
      <c r="AE39" s="32"/>
      <c r="AF39" s="32"/>
      <c r="AG39" s="32"/>
      <c r="AH39" s="32"/>
      <c r="AI39" s="32"/>
      <c r="AJ39" s="32"/>
      <c r="AK39" s="32"/>
      <c r="AL39" s="60"/>
      <c r="AM39" s="60"/>
      <c r="AN39" s="135"/>
      <c r="AO39" s="60"/>
      <c r="AP39" s="60"/>
      <c r="AQ39" s="60"/>
      <c r="AR39" s="60"/>
      <c r="AS39" s="32"/>
      <c r="AT39" s="32"/>
      <c r="AU39" s="32"/>
      <c r="AV39" s="32"/>
      <c r="AW39" s="32"/>
      <c r="AX39" s="158"/>
      <c r="AY39" s="125"/>
      <c r="AZ39" s="187"/>
      <c r="BA39" s="129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4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128"/>
      <c r="BX39" s="1"/>
    </row>
    <row r="40" ht="13.5" customHeight="1">
      <c r="A40" s="188"/>
      <c r="B40" s="192"/>
      <c r="C40" s="166"/>
      <c r="D40" s="142"/>
      <c r="E40" s="142"/>
      <c r="F40" s="60"/>
      <c r="G40" s="60"/>
      <c r="H40" s="60"/>
      <c r="I40" s="60"/>
      <c r="J40" s="60"/>
      <c r="K40" s="60"/>
      <c r="L40" s="60"/>
      <c r="M40" s="60"/>
      <c r="N40" s="60"/>
      <c r="O40" s="135"/>
      <c r="P40" s="60"/>
      <c r="Q40" s="60"/>
      <c r="R40" s="60"/>
      <c r="S40" s="60"/>
      <c r="T40" s="60"/>
      <c r="U40" s="60"/>
      <c r="V40" s="60"/>
      <c r="W40" s="60"/>
      <c r="X40" s="60"/>
      <c r="Y40" s="158"/>
      <c r="Z40" s="125"/>
      <c r="AA40" s="191"/>
      <c r="AB40" s="166"/>
      <c r="AC40" s="142"/>
      <c r="AD40" s="142"/>
      <c r="AE40" s="142"/>
      <c r="AF40" s="142"/>
      <c r="AG40" s="142"/>
      <c r="AH40" s="142"/>
      <c r="AI40" s="142"/>
      <c r="AJ40" s="32"/>
      <c r="AK40" s="32"/>
      <c r="AL40" s="60"/>
      <c r="AM40" s="60"/>
      <c r="AN40" s="135"/>
      <c r="AO40" s="60"/>
      <c r="AP40" s="60"/>
      <c r="AQ40" s="60"/>
      <c r="AR40" s="60"/>
      <c r="AS40" s="32"/>
      <c r="AT40" s="32"/>
      <c r="AU40" s="32"/>
      <c r="AV40" s="32"/>
      <c r="AW40" s="32"/>
      <c r="AX40" s="158"/>
      <c r="AY40" s="125"/>
      <c r="AZ40" s="193"/>
      <c r="BA40" s="130"/>
      <c r="BB40" s="85"/>
      <c r="BC40" s="85"/>
      <c r="BD40" s="85"/>
      <c r="BE40" s="85"/>
      <c r="BF40" s="85"/>
      <c r="BG40" s="85"/>
      <c r="BH40" s="85"/>
      <c r="BI40" s="85"/>
      <c r="BJ40" s="32"/>
      <c r="BK40" s="85"/>
      <c r="BL40" s="133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131"/>
      <c r="BX40" s="1"/>
    </row>
    <row r="41" ht="13.5" customHeight="1">
      <c r="A41" s="188"/>
      <c r="B41" s="192"/>
      <c r="C41" s="166"/>
      <c r="D41" s="142"/>
      <c r="E41" s="142"/>
      <c r="F41" s="60"/>
      <c r="G41" s="60"/>
      <c r="H41" s="60"/>
      <c r="I41" s="60"/>
      <c r="J41" s="60"/>
      <c r="K41" s="60"/>
      <c r="L41" s="60"/>
      <c r="M41" s="60"/>
      <c r="N41" s="60"/>
      <c r="O41" s="135"/>
      <c r="P41" s="60"/>
      <c r="Q41" s="60"/>
      <c r="R41" s="60"/>
      <c r="S41" s="60"/>
      <c r="T41" s="60"/>
      <c r="U41" s="60"/>
      <c r="V41" s="60"/>
      <c r="W41" s="60"/>
      <c r="X41" s="60"/>
      <c r="Y41" s="158"/>
      <c r="Z41" s="125"/>
      <c r="AA41" s="191"/>
      <c r="AB41" s="166"/>
      <c r="AC41" s="142"/>
      <c r="AD41" s="142"/>
      <c r="AE41" s="142"/>
      <c r="AF41" s="142"/>
      <c r="AG41" s="142"/>
      <c r="AH41" s="142"/>
      <c r="AI41" s="32"/>
      <c r="AJ41" s="32"/>
      <c r="AK41" s="32"/>
      <c r="AL41" s="60"/>
      <c r="AM41" s="60"/>
      <c r="AN41" s="135"/>
      <c r="AO41" s="60"/>
      <c r="AP41" s="60"/>
      <c r="AQ41" s="60"/>
      <c r="AR41" s="60"/>
      <c r="AS41" s="60"/>
      <c r="AT41" s="60"/>
      <c r="AU41" s="60"/>
      <c r="AV41" s="60"/>
      <c r="AW41" s="60"/>
      <c r="AX41" s="158"/>
      <c r="AY41" s="125"/>
      <c r="AZ41" s="194"/>
      <c r="BA41" s="166"/>
      <c r="BB41" s="142"/>
      <c r="BC41" s="142"/>
      <c r="BD41" s="142"/>
      <c r="BE41" s="142"/>
      <c r="BF41" s="142"/>
      <c r="BG41" s="142"/>
      <c r="BH41" s="142"/>
      <c r="BI41" s="142"/>
      <c r="BJ41" s="60"/>
      <c r="BK41" s="142"/>
      <c r="BL41" s="195"/>
      <c r="BM41" s="142"/>
      <c r="BN41" s="142"/>
      <c r="BO41" s="142"/>
      <c r="BP41" s="142"/>
      <c r="BQ41" s="142"/>
      <c r="BR41" s="142"/>
      <c r="BS41" s="142"/>
      <c r="BT41" s="142"/>
      <c r="BU41" s="142"/>
      <c r="BV41" s="142"/>
      <c r="BW41" s="178"/>
      <c r="BX41" s="1"/>
    </row>
    <row r="42" ht="13.5" customHeight="1">
      <c r="A42" s="188"/>
      <c r="B42" s="192"/>
      <c r="C42" s="166"/>
      <c r="D42" s="142"/>
      <c r="E42" s="142"/>
      <c r="F42" s="60"/>
      <c r="G42" s="60"/>
      <c r="H42" s="60"/>
      <c r="I42" s="60"/>
      <c r="J42" s="60"/>
      <c r="K42" s="60"/>
      <c r="L42" s="60"/>
      <c r="M42" s="60"/>
      <c r="N42" s="60"/>
      <c r="O42" s="135"/>
      <c r="P42" s="60"/>
      <c r="Q42" s="60"/>
      <c r="R42" s="60"/>
      <c r="S42" s="60"/>
      <c r="T42" s="60"/>
      <c r="U42" s="60"/>
      <c r="V42" s="60"/>
      <c r="W42" s="60"/>
      <c r="X42" s="60"/>
      <c r="Y42" s="158"/>
      <c r="Z42" s="125"/>
      <c r="AA42" s="191"/>
      <c r="AB42" s="166"/>
      <c r="AC42" s="142"/>
      <c r="AD42" s="142"/>
      <c r="AE42" s="142"/>
      <c r="AF42" s="142"/>
      <c r="AG42" s="142"/>
      <c r="AH42" s="142"/>
      <c r="AI42" s="32"/>
      <c r="AJ42" s="32"/>
      <c r="AK42" s="32"/>
      <c r="AL42" s="60"/>
      <c r="AM42" s="60"/>
      <c r="AN42" s="135"/>
      <c r="AO42" s="60"/>
      <c r="AP42" s="60"/>
      <c r="AQ42" s="60"/>
      <c r="AR42" s="60"/>
      <c r="AS42" s="60"/>
      <c r="AT42" s="60"/>
      <c r="AU42" s="60"/>
      <c r="AV42" s="60"/>
      <c r="AW42" s="60"/>
      <c r="AX42" s="158"/>
      <c r="AY42" s="125"/>
      <c r="AZ42" s="194"/>
      <c r="BA42" s="166"/>
      <c r="BB42" s="142"/>
      <c r="BC42" s="142"/>
      <c r="BD42" s="142"/>
      <c r="BE42" s="142"/>
      <c r="BF42" s="142"/>
      <c r="BG42" s="142"/>
      <c r="BH42" s="142"/>
      <c r="BI42" s="142"/>
      <c r="BJ42" s="60"/>
      <c r="BK42" s="142"/>
      <c r="BL42" s="195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78"/>
      <c r="BX42" s="1"/>
    </row>
    <row r="43" ht="14.25" customHeight="1">
      <c r="A43" s="111">
        <v>6.0</v>
      </c>
      <c r="B43" s="196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8"/>
      <c r="P43" s="197"/>
      <c r="Q43" s="197"/>
      <c r="R43" s="197"/>
      <c r="S43" s="197"/>
      <c r="T43" s="197"/>
      <c r="U43" s="197"/>
      <c r="V43" s="197"/>
      <c r="W43" s="197"/>
      <c r="X43" s="197"/>
      <c r="Y43" s="199"/>
      <c r="Z43" s="200">
        <v>5.0</v>
      </c>
      <c r="AA43" s="201"/>
      <c r="AB43" s="202"/>
      <c r="AC43" s="203"/>
      <c r="AD43" s="203"/>
      <c r="AE43" s="203"/>
      <c r="AF43" s="204"/>
      <c r="AG43" s="203"/>
      <c r="AH43" s="205"/>
      <c r="AI43" s="205"/>
      <c r="AJ43" s="205"/>
      <c r="AK43" s="205"/>
      <c r="AL43" s="205"/>
      <c r="AM43" s="205"/>
      <c r="AN43" s="198"/>
      <c r="AO43" s="197"/>
      <c r="AP43" s="197"/>
      <c r="AQ43" s="197"/>
      <c r="AR43" s="197"/>
      <c r="AS43" s="197"/>
      <c r="AT43" s="197"/>
      <c r="AU43" s="197"/>
      <c r="AV43" s="197"/>
      <c r="AW43" s="197"/>
      <c r="AX43" s="199"/>
      <c r="AY43" s="206"/>
      <c r="AZ43" s="207"/>
      <c r="BA43" s="208"/>
      <c r="BB43" s="209"/>
      <c r="BC43" s="209"/>
      <c r="BD43" s="209"/>
      <c r="BE43" s="209"/>
      <c r="BF43" s="209"/>
      <c r="BG43" s="209"/>
      <c r="BH43" s="209"/>
      <c r="BI43" s="209"/>
      <c r="BJ43" s="197"/>
      <c r="BK43" s="209"/>
      <c r="BL43" s="210"/>
      <c r="BM43" s="209"/>
      <c r="BN43" s="209"/>
      <c r="BO43" s="209"/>
      <c r="BP43" s="209"/>
      <c r="BQ43" s="209"/>
      <c r="BR43" s="209"/>
      <c r="BS43" s="209"/>
      <c r="BT43" s="209"/>
      <c r="BU43" s="209"/>
      <c r="BV43" s="209"/>
      <c r="BW43" s="211"/>
      <c r="BX43" s="1"/>
    </row>
    <row r="44" ht="13.5" customHeight="1">
      <c r="A44" s="1"/>
      <c r="B44" s="99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100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212"/>
      <c r="AZ44" s="99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ht="13.5" customHeight="1">
      <c r="A45" s="1"/>
      <c r="B45" s="99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100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99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ht="13.5" customHeight="1">
      <c r="A46" s="1"/>
      <c r="B46" s="99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100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99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ht="13.5" customHeight="1">
      <c r="A47" s="1"/>
      <c r="B47" s="99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100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99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ht="13.5" customHeight="1">
      <c r="A48" s="1"/>
      <c r="B48" s="99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1"/>
      <c r="AA48" s="99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99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ht="13.5" customHeight="1">
      <c r="A49" s="1"/>
      <c r="B49" s="99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1"/>
      <c r="AA49" s="99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99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ht="13.5" customHeight="1">
      <c r="A50" s="1"/>
      <c r="B50" s="99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1"/>
      <c r="AA50" s="99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99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</row>
    <row r="51" ht="13.5" customHeight="1">
      <c r="A51" s="1"/>
      <c r="B51" s="9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1"/>
      <c r="AA51" s="99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99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ht="13.5" customHeight="1">
      <c r="A52" s="1"/>
      <c r="B52" s="99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1"/>
      <c r="AA52" s="99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99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</row>
    <row r="53" ht="13.5" customHeight="1">
      <c r="A53" s="1"/>
      <c r="B53" s="9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99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99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ht="13.5" customHeight="1">
      <c r="A54" s="1"/>
      <c r="B54" s="9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99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99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ht="13.5" customHeight="1">
      <c r="A55" s="1"/>
      <c r="B55" s="9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99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99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</row>
    <row r="56" ht="13.5" customHeight="1">
      <c r="A56" s="1"/>
      <c r="B56" s="9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99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99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ht="13.5" customHeight="1">
      <c r="A57" s="1"/>
      <c r="B57" s="9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99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99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ht="13.5" customHeight="1">
      <c r="A58" s="1"/>
      <c r="B58" s="9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99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99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</row>
    <row r="59" ht="13.5" customHeight="1">
      <c r="A59" s="1"/>
      <c r="B59" s="9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99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99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ht="13.5" customHeight="1">
      <c r="A60" s="1"/>
      <c r="B60" s="9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99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99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</row>
    <row r="61" ht="13.5" customHeight="1">
      <c r="A61" s="1"/>
      <c r="B61" s="9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99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99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</row>
    <row r="62" ht="13.5" customHeight="1">
      <c r="A62" s="1"/>
      <c r="B62" s="9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99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99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</row>
    <row r="63" ht="13.5" customHeight="1">
      <c r="A63" s="1"/>
      <c r="B63" s="9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99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99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ht="13.5" customHeight="1">
      <c r="A64" s="1"/>
      <c r="B64" s="9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99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99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ht="13.5" customHeight="1">
      <c r="A65" s="1"/>
      <c r="B65" s="9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99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99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</row>
    <row r="66" ht="13.5" customHeight="1">
      <c r="A66" s="1"/>
      <c r="B66" s="9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99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99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ht="13.5" customHeight="1">
      <c r="A67" s="1"/>
      <c r="B67" s="9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99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99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ht="13.5" customHeight="1">
      <c r="A68" s="1"/>
      <c r="B68" s="9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99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99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ht="13.5" customHeight="1">
      <c r="A69" s="1"/>
      <c r="B69" s="9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99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99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</row>
    <row r="70" ht="13.5" customHeight="1">
      <c r="A70" s="1"/>
      <c r="B70" s="9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99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99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ht="13.5" customHeight="1">
      <c r="A71" s="1"/>
      <c r="B71" s="9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99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99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ht="13.5" customHeight="1">
      <c r="A72" s="1"/>
      <c r="B72" s="9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99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99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ht="13.5" customHeight="1">
      <c r="A73" s="1"/>
      <c r="B73" s="9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99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99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</row>
    <row r="74" ht="13.5" customHeight="1">
      <c r="A74" s="1"/>
      <c r="B74" s="99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99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99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</row>
    <row r="75" ht="13.5" customHeight="1">
      <c r="A75" s="1"/>
      <c r="B75" s="99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99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99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</row>
    <row r="76" ht="13.5" customHeight="1">
      <c r="A76" s="1"/>
      <c r="B76" s="99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99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99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</row>
    <row r="77" ht="13.5" customHeight="1">
      <c r="A77" s="1"/>
      <c r="B77" s="99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99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99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</row>
    <row r="78" ht="13.5" customHeight="1">
      <c r="A78" s="1"/>
      <c r="B78" s="99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99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99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</row>
    <row r="79" ht="13.5" customHeight="1">
      <c r="A79" s="1"/>
      <c r="B79" s="99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99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99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</row>
    <row r="80" ht="13.5" customHeight="1">
      <c r="A80" s="1"/>
      <c r="B80" s="99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99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99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</row>
    <row r="81" ht="13.5" customHeight="1">
      <c r="A81" s="1"/>
      <c r="B81" s="99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99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99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</row>
    <row r="82" ht="13.5" customHeight="1">
      <c r="A82" s="1"/>
      <c r="B82" s="99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99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99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ht="13.5" customHeight="1">
      <c r="A83" s="1"/>
      <c r="B83" s="99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99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99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ht="13.5" customHeight="1">
      <c r="A84" s="1"/>
      <c r="B84" s="99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99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99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</row>
    <row r="85" ht="13.5" customHeight="1">
      <c r="A85" s="1"/>
      <c r="B85" s="99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99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99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</row>
    <row r="86" ht="13.5" customHeight="1">
      <c r="A86" s="1"/>
      <c r="B86" s="99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99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99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ht="13.5" customHeight="1">
      <c r="A87" s="1"/>
      <c r="B87" s="99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99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99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</row>
    <row r="88" ht="13.5" customHeight="1">
      <c r="A88" s="1"/>
      <c r="B88" s="99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99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99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</row>
    <row r="89" ht="13.5" customHeight="1">
      <c r="A89" s="1"/>
      <c r="B89" s="99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99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99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</row>
    <row r="90" ht="13.5" customHeight="1">
      <c r="A90" s="1"/>
      <c r="B90" s="99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99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99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</row>
    <row r="91" ht="13.5" customHeight="1">
      <c r="A91" s="1"/>
      <c r="B91" s="99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99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99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</row>
    <row r="92" ht="13.5" customHeight="1">
      <c r="A92" s="1"/>
      <c r="B92" s="99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99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99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</row>
    <row r="93" ht="13.5" customHeight="1">
      <c r="A93" s="1"/>
      <c r="B93" s="99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99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99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</row>
    <row r="94" ht="13.5" customHeight="1">
      <c r="A94" s="1"/>
      <c r="B94" s="99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99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99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ht="13.5" customHeight="1">
      <c r="A95" s="1"/>
      <c r="B95" s="99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99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99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ht="13.5" customHeight="1">
      <c r="A96" s="1"/>
      <c r="B96" s="99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99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99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ht="13.5" customHeight="1">
      <c r="A97" s="1"/>
      <c r="B97" s="9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99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99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</row>
    <row r="98" ht="13.5" customHeight="1">
      <c r="A98" s="1"/>
      <c r="B98" s="99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99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99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</row>
    <row r="99" ht="13.5" customHeight="1">
      <c r="A99" s="1"/>
      <c r="B99" s="99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99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99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ht="13.5" customHeight="1">
      <c r="A100" s="1"/>
      <c r="B100" s="99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99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99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</sheetData>
  <mergeCells count="15">
    <mergeCell ref="AB3:AK3"/>
    <mergeCell ref="BM3:BV3"/>
    <mergeCell ref="BA3:BJ3"/>
    <mergeCell ref="AN3:AW3"/>
    <mergeCell ref="AY17:AY27"/>
    <mergeCell ref="AY30:AY43"/>
    <mergeCell ref="AY5:AY14"/>
    <mergeCell ref="A5:A20"/>
    <mergeCell ref="AB1:AU1"/>
    <mergeCell ref="O3:X3"/>
    <mergeCell ref="A24:A30"/>
    <mergeCell ref="Z30:Z42"/>
    <mergeCell ref="Z17:Z28"/>
    <mergeCell ref="C3:L3"/>
    <mergeCell ref="Z5:Z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13" width="6.57"/>
    <col customWidth="1" min="14" max="14" width="10.86"/>
  </cols>
  <sheetData>
    <row r="1" ht="42.0" customHeight="1">
      <c r="A1" s="213" t="s">
        <v>120</v>
      </c>
    </row>
    <row r="2" ht="20.25" customHeight="1">
      <c r="A2" s="214"/>
      <c r="B2" s="215" t="s">
        <v>121</v>
      </c>
      <c r="C2" s="215" t="s">
        <v>122</v>
      </c>
      <c r="D2" s="215" t="s">
        <v>123</v>
      </c>
      <c r="E2" s="215" t="s">
        <v>124</v>
      </c>
      <c r="F2" s="215" t="s">
        <v>125</v>
      </c>
      <c r="G2" s="215" t="s">
        <v>126</v>
      </c>
      <c r="H2" s="215" t="s">
        <v>127</v>
      </c>
      <c r="I2" s="215" t="s">
        <v>128</v>
      </c>
      <c r="J2" s="215" t="s">
        <v>129</v>
      </c>
      <c r="K2" s="215" t="s">
        <v>130</v>
      </c>
      <c r="L2" s="215" t="s">
        <v>131</v>
      </c>
      <c r="M2" s="215" t="s">
        <v>132</v>
      </c>
      <c r="N2" s="216" t="s">
        <v>133</v>
      </c>
    </row>
    <row r="3" ht="20.25" customHeight="1">
      <c r="A3" s="126" t="s">
        <v>39</v>
      </c>
      <c r="B3" s="217" t="s">
        <v>115</v>
      </c>
      <c r="C3" s="217" t="s">
        <v>114</v>
      </c>
      <c r="D3" s="217" t="s">
        <v>115</v>
      </c>
      <c r="E3" s="217"/>
      <c r="F3" s="217"/>
      <c r="G3" s="217"/>
      <c r="H3" s="217"/>
      <c r="I3" s="217"/>
      <c r="J3" s="217"/>
      <c r="K3" s="217"/>
      <c r="L3" s="217"/>
      <c r="M3" s="217"/>
      <c r="N3" s="218" t="str">
        <f t="shared" ref="N3:N16" si="1">COUNTIF(B3:M3,"○")/12</f>
        <v>17%</v>
      </c>
    </row>
    <row r="4" ht="20.25" customHeight="1">
      <c r="A4" s="126" t="s">
        <v>40</v>
      </c>
      <c r="B4" s="217" t="s">
        <v>115</v>
      </c>
      <c r="C4" s="217" t="s">
        <v>115</v>
      </c>
      <c r="D4" s="217" t="s">
        <v>114</v>
      </c>
      <c r="E4" s="217"/>
      <c r="F4" s="217"/>
      <c r="G4" s="217"/>
      <c r="H4" s="217"/>
      <c r="I4" s="217"/>
      <c r="J4" s="217"/>
      <c r="K4" s="217"/>
      <c r="L4" s="217"/>
      <c r="M4" s="217"/>
      <c r="N4" s="218" t="str">
        <f t="shared" si="1"/>
        <v>17%</v>
      </c>
    </row>
    <row r="5" ht="20.25" customHeight="1">
      <c r="A5" s="132" t="s">
        <v>41</v>
      </c>
      <c r="B5" s="217" t="s">
        <v>115</v>
      </c>
      <c r="C5" s="217" t="s">
        <v>115</v>
      </c>
      <c r="D5" s="217" t="s">
        <v>115</v>
      </c>
      <c r="E5" s="217"/>
      <c r="F5" s="217"/>
      <c r="G5" s="217"/>
      <c r="H5" s="217"/>
      <c r="I5" s="217"/>
      <c r="J5" s="217"/>
      <c r="K5" s="217"/>
      <c r="L5" s="217"/>
      <c r="M5" s="217"/>
      <c r="N5" s="218" t="str">
        <f t="shared" si="1"/>
        <v>25%</v>
      </c>
    </row>
    <row r="6" ht="20.25" customHeight="1">
      <c r="A6" s="132" t="s">
        <v>42</v>
      </c>
      <c r="B6" s="217" t="s">
        <v>115</v>
      </c>
      <c r="C6" s="217" t="s">
        <v>114</v>
      </c>
      <c r="D6" s="217" t="s">
        <v>115</v>
      </c>
      <c r="E6" s="217"/>
      <c r="F6" s="217"/>
      <c r="G6" s="217"/>
      <c r="H6" s="217"/>
      <c r="I6" s="217"/>
      <c r="J6" s="217"/>
      <c r="K6" s="217"/>
      <c r="L6" s="217"/>
      <c r="M6" s="217"/>
      <c r="N6" s="218" t="str">
        <f t="shared" si="1"/>
        <v>17%</v>
      </c>
    </row>
    <row r="7" ht="20.25" customHeight="1">
      <c r="A7" s="134" t="s">
        <v>43</v>
      </c>
      <c r="B7" s="217" t="s">
        <v>115</v>
      </c>
      <c r="C7" s="217" t="s">
        <v>115</v>
      </c>
      <c r="D7" s="217" t="s">
        <v>115</v>
      </c>
      <c r="E7" s="217"/>
      <c r="F7" s="217"/>
      <c r="G7" s="217"/>
      <c r="H7" s="217"/>
      <c r="I7" s="217"/>
      <c r="J7" s="217"/>
      <c r="K7" s="217"/>
      <c r="L7" s="217"/>
      <c r="M7" s="217"/>
      <c r="N7" s="218" t="str">
        <f t="shared" si="1"/>
        <v>25%</v>
      </c>
    </row>
    <row r="8" ht="20.25" customHeight="1">
      <c r="A8" s="132" t="s">
        <v>44</v>
      </c>
      <c r="B8" s="217" t="s">
        <v>115</v>
      </c>
      <c r="C8" s="217" t="s">
        <v>115</v>
      </c>
      <c r="D8" s="217" t="s">
        <v>115</v>
      </c>
      <c r="E8" s="217"/>
      <c r="F8" s="217"/>
      <c r="G8" s="217"/>
      <c r="H8" s="217"/>
      <c r="I8" s="217"/>
      <c r="J8" s="217"/>
      <c r="K8" s="217"/>
      <c r="L8" s="217"/>
      <c r="M8" s="217"/>
      <c r="N8" s="218" t="str">
        <f t="shared" si="1"/>
        <v>25%</v>
      </c>
    </row>
    <row r="9" ht="20.25" customHeight="1">
      <c r="A9" s="134" t="s">
        <v>45</v>
      </c>
      <c r="B9" s="217" t="s">
        <v>115</v>
      </c>
      <c r="C9" s="217" t="s">
        <v>115</v>
      </c>
      <c r="D9" s="217" t="s">
        <v>115</v>
      </c>
      <c r="E9" s="217"/>
      <c r="F9" s="217"/>
      <c r="G9" s="217"/>
      <c r="H9" s="217"/>
      <c r="I9" s="217"/>
      <c r="J9" s="217"/>
      <c r="K9" s="217"/>
      <c r="L9" s="217"/>
      <c r="M9" s="217"/>
      <c r="N9" s="218" t="str">
        <f t="shared" si="1"/>
        <v>25%</v>
      </c>
    </row>
    <row r="10" ht="20.25" customHeight="1">
      <c r="A10" s="132" t="s">
        <v>46</v>
      </c>
      <c r="B10" s="217" t="s">
        <v>115</v>
      </c>
      <c r="C10" s="217" t="s">
        <v>115</v>
      </c>
      <c r="D10" s="217" t="s">
        <v>115</v>
      </c>
      <c r="E10" s="217"/>
      <c r="F10" s="217"/>
      <c r="G10" s="217"/>
      <c r="H10" s="217"/>
      <c r="I10" s="217"/>
      <c r="J10" s="217"/>
      <c r="K10" s="217"/>
      <c r="L10" s="217"/>
      <c r="M10" s="217"/>
      <c r="N10" s="218" t="str">
        <f t="shared" si="1"/>
        <v>25%</v>
      </c>
    </row>
    <row r="11" ht="20.25" customHeight="1">
      <c r="A11" s="132" t="s">
        <v>47</v>
      </c>
      <c r="B11" s="217" t="s">
        <v>115</v>
      </c>
      <c r="C11" s="217" t="s">
        <v>115</v>
      </c>
      <c r="D11" s="217" t="s">
        <v>115</v>
      </c>
      <c r="E11" s="217"/>
      <c r="F11" s="217"/>
      <c r="G11" s="217"/>
      <c r="H11" s="217"/>
      <c r="I11" s="217"/>
      <c r="J11" s="217"/>
      <c r="K11" s="217"/>
      <c r="L11" s="217"/>
      <c r="M11" s="217"/>
      <c r="N11" s="218" t="str">
        <f t="shared" si="1"/>
        <v>25%</v>
      </c>
    </row>
    <row r="12" ht="20.25" customHeight="1">
      <c r="A12" s="140" t="s">
        <v>58</v>
      </c>
      <c r="B12" s="217" t="s">
        <v>115</v>
      </c>
      <c r="C12" s="217" t="s">
        <v>114</v>
      </c>
      <c r="D12" s="217" t="s">
        <v>114</v>
      </c>
      <c r="E12" s="217"/>
      <c r="F12" s="217"/>
      <c r="G12" s="217"/>
      <c r="H12" s="217"/>
      <c r="I12" s="217"/>
      <c r="J12" s="217"/>
      <c r="K12" s="217"/>
      <c r="L12" s="217"/>
      <c r="M12" s="217"/>
      <c r="N12" s="218" t="str">
        <f t="shared" si="1"/>
        <v>8%</v>
      </c>
    </row>
    <row r="13" ht="20.25" customHeight="1">
      <c r="A13" s="140" t="s">
        <v>67</v>
      </c>
      <c r="B13" s="217" t="s">
        <v>115</v>
      </c>
      <c r="C13" s="217" t="s">
        <v>115</v>
      </c>
      <c r="D13" s="217" t="s">
        <v>115</v>
      </c>
      <c r="E13" s="217"/>
      <c r="F13" s="217"/>
      <c r="G13" s="217"/>
      <c r="H13" s="217"/>
      <c r="I13" s="217"/>
      <c r="J13" s="217"/>
      <c r="K13" s="217"/>
      <c r="L13" s="217"/>
      <c r="M13" s="217"/>
      <c r="N13" s="218" t="str">
        <f t="shared" si="1"/>
        <v>25%</v>
      </c>
    </row>
    <row r="14" ht="20.25" customHeight="1">
      <c r="A14" s="140" t="s">
        <v>78</v>
      </c>
      <c r="B14" s="217" t="s">
        <v>115</v>
      </c>
      <c r="C14" s="217" t="s">
        <v>115</v>
      </c>
      <c r="D14" s="217" t="s">
        <v>115</v>
      </c>
      <c r="E14" s="217"/>
      <c r="F14" s="217"/>
      <c r="G14" s="217"/>
      <c r="H14" s="217"/>
      <c r="I14" s="217"/>
      <c r="J14" s="217"/>
      <c r="K14" s="217"/>
      <c r="L14" s="217"/>
      <c r="M14" s="217"/>
      <c r="N14" s="218" t="str">
        <f t="shared" si="1"/>
        <v>25%</v>
      </c>
    </row>
    <row r="15" ht="20.25" customHeight="1">
      <c r="A15" s="132" t="s">
        <v>85</v>
      </c>
      <c r="B15" s="217" t="s">
        <v>115</v>
      </c>
      <c r="C15" s="217" t="s">
        <v>115</v>
      </c>
      <c r="D15" s="217" t="s">
        <v>115</v>
      </c>
      <c r="E15" s="217"/>
      <c r="F15" s="217"/>
      <c r="G15" s="217"/>
      <c r="H15" s="217"/>
      <c r="I15" s="217"/>
      <c r="J15" s="217"/>
      <c r="K15" s="217"/>
      <c r="L15" s="217"/>
      <c r="M15" s="217"/>
      <c r="N15" s="218" t="str">
        <f t="shared" si="1"/>
        <v>25%</v>
      </c>
    </row>
    <row r="16" ht="20.25" customHeight="1">
      <c r="A16" s="219" t="s">
        <v>92</v>
      </c>
      <c r="B16" s="217" t="s">
        <v>115</v>
      </c>
      <c r="C16" s="217" t="s">
        <v>115</v>
      </c>
      <c r="D16" s="217" t="s">
        <v>115</v>
      </c>
      <c r="E16" s="217"/>
      <c r="F16" s="217"/>
      <c r="G16" s="217"/>
      <c r="H16" s="217"/>
      <c r="I16" s="217"/>
      <c r="J16" s="217"/>
      <c r="K16" s="217"/>
      <c r="L16" s="217"/>
      <c r="M16" s="217"/>
      <c r="N16" s="218" t="str">
        <f t="shared" si="1"/>
        <v>25%</v>
      </c>
    </row>
    <row r="17" ht="18.0" customHeight="1">
      <c r="A17" s="220"/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2"/>
    </row>
    <row r="18" ht="18.0" customHeight="1">
      <c r="A18" s="223" t="s">
        <v>134</v>
      </c>
      <c r="B18" s="224"/>
      <c r="C18" s="224"/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5"/>
    </row>
    <row r="19" ht="20.25" customHeight="1">
      <c r="A19" s="226"/>
      <c r="B19" s="215" t="s">
        <v>121</v>
      </c>
      <c r="C19" s="215" t="s">
        <v>122</v>
      </c>
      <c r="D19" s="215" t="s">
        <v>123</v>
      </c>
      <c r="E19" s="215" t="s">
        <v>124</v>
      </c>
      <c r="F19" s="215" t="s">
        <v>125</v>
      </c>
      <c r="G19" s="215" t="s">
        <v>126</v>
      </c>
      <c r="H19" s="215" t="s">
        <v>127</v>
      </c>
      <c r="I19" s="215" t="s">
        <v>128</v>
      </c>
      <c r="J19" s="215" t="s">
        <v>129</v>
      </c>
      <c r="K19" s="215" t="s">
        <v>130</v>
      </c>
      <c r="L19" s="215" t="s">
        <v>131</v>
      </c>
      <c r="M19" s="227" t="s">
        <v>132</v>
      </c>
      <c r="N19" s="228" t="s">
        <v>133</v>
      </c>
    </row>
    <row r="20" ht="20.25" customHeight="1">
      <c r="A20" s="229" t="s">
        <v>51</v>
      </c>
      <c r="B20" s="217" t="s">
        <v>115</v>
      </c>
      <c r="C20" s="217" t="s">
        <v>115</v>
      </c>
      <c r="D20" s="217" t="s">
        <v>115</v>
      </c>
      <c r="E20" s="217"/>
      <c r="F20" s="217"/>
      <c r="G20" s="217"/>
      <c r="H20" s="217"/>
      <c r="I20" s="217"/>
      <c r="J20" s="217"/>
      <c r="K20" s="217"/>
      <c r="L20" s="217"/>
      <c r="M20" s="217"/>
      <c r="N20" s="218" t="str">
        <f t="shared" ref="N20:N31" si="2">COUNTIF(B20:M20,"○")/12</f>
        <v>25%</v>
      </c>
    </row>
    <row r="21" ht="20.25" customHeight="1">
      <c r="A21" s="229" t="s">
        <v>59</v>
      </c>
      <c r="B21" s="217" t="s">
        <v>115</v>
      </c>
      <c r="C21" s="217" t="s">
        <v>115</v>
      </c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8" t="str">
        <f t="shared" si="2"/>
        <v>17%</v>
      </c>
    </row>
    <row r="22" ht="20.25" customHeight="1">
      <c r="A22" s="229" t="s">
        <v>79</v>
      </c>
      <c r="B22" s="217" t="s">
        <v>115</v>
      </c>
      <c r="C22" s="217" t="s">
        <v>115</v>
      </c>
      <c r="D22" s="217" t="s">
        <v>115</v>
      </c>
      <c r="E22" s="217"/>
      <c r="F22" s="217"/>
      <c r="G22" s="217"/>
      <c r="H22" s="217"/>
      <c r="I22" s="217"/>
      <c r="J22" s="217"/>
      <c r="K22" s="217"/>
      <c r="L22" s="217"/>
      <c r="M22" s="217"/>
      <c r="N22" s="218" t="str">
        <f t="shared" si="2"/>
        <v>25%</v>
      </c>
    </row>
    <row r="23" ht="20.25" customHeight="1">
      <c r="A23" s="229" t="s">
        <v>86</v>
      </c>
      <c r="B23" s="217" t="s">
        <v>115</v>
      </c>
      <c r="C23" s="217" t="s">
        <v>115</v>
      </c>
      <c r="D23" s="217" t="s">
        <v>115</v>
      </c>
      <c r="E23" s="217"/>
      <c r="F23" s="217"/>
      <c r="G23" s="217"/>
      <c r="H23" s="217"/>
      <c r="I23" s="217"/>
      <c r="J23" s="217"/>
      <c r="K23" s="217"/>
      <c r="L23" s="217"/>
      <c r="M23" s="217"/>
      <c r="N23" s="218" t="str">
        <f t="shared" si="2"/>
        <v>25%</v>
      </c>
    </row>
    <row r="24" ht="20.25" customHeight="1">
      <c r="A24" s="229" t="s">
        <v>93</v>
      </c>
      <c r="B24" s="217" t="s">
        <v>115</v>
      </c>
      <c r="C24" s="217" t="s">
        <v>115</v>
      </c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8" t="str">
        <f t="shared" si="2"/>
        <v>17%</v>
      </c>
    </row>
    <row r="25" ht="20.25" customHeight="1">
      <c r="A25" s="229" t="s">
        <v>68</v>
      </c>
      <c r="B25" s="217"/>
      <c r="C25" s="217" t="s">
        <v>115</v>
      </c>
      <c r="D25" s="217" t="s">
        <v>115</v>
      </c>
      <c r="E25" s="217"/>
      <c r="F25" s="217"/>
      <c r="G25" s="217"/>
      <c r="H25" s="217"/>
      <c r="I25" s="217"/>
      <c r="J25" s="217"/>
      <c r="K25" s="217"/>
      <c r="L25" s="217"/>
      <c r="M25" s="217"/>
      <c r="N25" s="218" t="str">
        <f t="shared" si="2"/>
        <v>17%</v>
      </c>
    </row>
    <row r="26" ht="20.25" customHeight="1">
      <c r="A26" s="229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8" t="str">
        <f t="shared" si="2"/>
        <v>0%</v>
      </c>
    </row>
    <row r="27" ht="20.25" customHeight="1">
      <c r="A27" s="229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8" t="str">
        <f t="shared" si="2"/>
        <v>0%</v>
      </c>
    </row>
    <row r="28" ht="20.25" customHeight="1">
      <c r="A28" s="229"/>
      <c r="B28" s="217"/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8" t="str">
        <f t="shared" si="2"/>
        <v>0%</v>
      </c>
    </row>
    <row r="29" ht="20.25" customHeight="1">
      <c r="A29" s="229"/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8" t="str">
        <f t="shared" si="2"/>
        <v>0%</v>
      </c>
    </row>
    <row r="30" ht="20.25" customHeight="1">
      <c r="A30" s="230"/>
      <c r="B30" s="217"/>
      <c r="C30" s="217"/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8" t="str">
        <f t="shared" si="2"/>
        <v>0%</v>
      </c>
    </row>
    <row r="31" ht="20.25" customHeight="1">
      <c r="A31" s="230"/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8" t="str">
        <f t="shared" si="2"/>
        <v>0%</v>
      </c>
    </row>
    <row r="32" ht="20.25" customHeight="1">
      <c r="A32" s="230"/>
      <c r="B32" s="217"/>
      <c r="C32" s="217"/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31"/>
    </row>
    <row r="33" ht="18.0" customHeight="1">
      <c r="A33" s="230"/>
      <c r="B33" s="217"/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31"/>
    </row>
    <row r="34" ht="18.0" customHeight="1">
      <c r="A34" s="230"/>
      <c r="B34" s="217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31"/>
    </row>
    <row r="35" ht="18.0" customHeight="1">
      <c r="A35" s="232"/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4"/>
    </row>
    <row r="36" ht="15.0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ht="13.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</row>
    <row r="38" ht="13.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ht="13.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</row>
    <row r="40" ht="13.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</row>
    <row r="41" ht="13.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</row>
    <row r="42" ht="13.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</row>
    <row r="43" ht="13.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</row>
    <row r="44" ht="13.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ht="13.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ht="13.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</row>
    <row r="47" ht="13.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ht="13.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ht="13.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ht="13.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ht="13.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 ht="13.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 ht="13.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</row>
    <row r="54" ht="13.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 ht="13.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 ht="13.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</row>
    <row r="57" ht="13.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</row>
    <row r="58" ht="13.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 ht="13.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</row>
    <row r="60" ht="13.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</row>
    <row r="61" ht="13.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</row>
    <row r="62" ht="13.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 ht="13.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</row>
    <row r="64" ht="13.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 ht="13.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</row>
    <row r="66" ht="13.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</row>
    <row r="67" ht="13.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</row>
    <row r="68" ht="13.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</row>
    <row r="69" ht="13.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</row>
    <row r="70" ht="13.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</row>
    <row r="71" ht="13.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</row>
    <row r="72" ht="13.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</row>
    <row r="73" ht="13.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</row>
    <row r="74" ht="13.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ht="13.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</row>
    <row r="76" ht="13.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</row>
    <row r="77" ht="13.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</row>
    <row r="78" ht="13.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</row>
    <row r="79" ht="13.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</row>
    <row r="80" ht="13.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</row>
    <row r="81" ht="13.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</row>
    <row r="82" ht="13.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</row>
    <row r="83" ht="13.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</row>
    <row r="84" ht="13.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</row>
    <row r="85" ht="13.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</row>
    <row r="86" ht="13.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</row>
    <row r="87" ht="13.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</row>
    <row r="88" ht="13.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</row>
    <row r="89" ht="13.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</row>
    <row r="90" ht="13.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</row>
    <row r="91" ht="13.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</row>
    <row r="92" ht="13.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</row>
    <row r="93" ht="13.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</row>
    <row r="94" ht="13.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</row>
    <row r="95" ht="13.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</row>
    <row r="96" ht="13.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</row>
    <row r="97" ht="13.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</row>
    <row r="98" ht="13.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</row>
    <row r="99" ht="13.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</row>
    <row r="100" ht="13.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2.57"/>
    <col customWidth="1" min="3" max="5" width="8.14"/>
    <col customWidth="1" min="6" max="6" width="6.14"/>
    <col customWidth="1" min="7" max="7" width="12.57"/>
    <col customWidth="1" min="8" max="10" width="8.14"/>
    <col customWidth="1" min="11" max="11" width="6.14"/>
    <col customWidth="1" min="12" max="12" width="12.57"/>
    <col customWidth="1" min="13" max="15" width="8.14"/>
    <col customWidth="1" min="16" max="17" width="9.0"/>
  </cols>
  <sheetData>
    <row r="1" ht="14.25" customHeight="1">
      <c r="A1" s="235"/>
      <c r="B1" s="236"/>
      <c r="C1" s="237" t="s">
        <v>135</v>
      </c>
      <c r="D1" s="237" t="s">
        <v>99</v>
      </c>
      <c r="E1" s="238" t="s">
        <v>100</v>
      </c>
      <c r="F1" s="239"/>
      <c r="G1" s="237"/>
      <c r="H1" s="237" t="s">
        <v>135</v>
      </c>
      <c r="I1" s="237" t="s">
        <v>99</v>
      </c>
      <c r="J1" s="238" t="s">
        <v>100</v>
      </c>
      <c r="K1" s="239"/>
      <c r="L1" s="237"/>
      <c r="M1" s="237" t="s">
        <v>135</v>
      </c>
      <c r="N1" s="237" t="s">
        <v>99</v>
      </c>
      <c r="O1" s="238" t="s">
        <v>100</v>
      </c>
      <c r="P1" s="1"/>
      <c r="Q1" s="1"/>
    </row>
    <row r="2" ht="13.5" customHeight="1">
      <c r="A2" s="240" t="s">
        <v>136</v>
      </c>
      <c r="B2" s="24" t="s">
        <v>39</v>
      </c>
      <c r="C2" s="241" t="str">
        <f>COUNTIF('理事会'!B3:M3,"○")</f>
        <v>2/12</v>
      </c>
      <c r="D2" s="241" t="str">
        <f>COUNTIF('定例会・委員会'!C5:N5,"○")</f>
        <v>0/12</v>
      </c>
      <c r="E2" s="242"/>
      <c r="F2" s="243" t="s">
        <v>57</v>
      </c>
      <c r="G2" s="120" t="s">
        <v>58</v>
      </c>
      <c r="H2" s="241" t="str">
        <f>COUNTIF('理事会'!B12:M12,"○")</f>
        <v>1/12</v>
      </c>
      <c r="I2" s="241" t="str">
        <f>COUNTIF('定例会・委員会'!AB5:AM5,"○")</f>
        <v>0/12</v>
      </c>
      <c r="J2" s="242" t="str">
        <f>COUNTIF('定例会・委員会'!AN5:AX5,"○")</f>
        <v>3/11</v>
      </c>
      <c r="K2" s="240" t="s">
        <v>84</v>
      </c>
      <c r="L2" s="81" t="s">
        <v>85</v>
      </c>
      <c r="M2" s="244" t="str">
        <f>COUNTIF('理事会'!B15:N15,"○")</f>
        <v>3/12</v>
      </c>
      <c r="N2" s="241" t="str">
        <f>COUNTIF('定例会・委員会'!BA5:BL5,"○")</f>
        <v>0/12</v>
      </c>
      <c r="O2" s="242" t="str">
        <f>COUNTIF('定例会・委員会'!BM5:BW5,"○")</f>
        <v>4/11</v>
      </c>
      <c r="P2" s="1"/>
      <c r="Q2" s="1"/>
    </row>
    <row r="3" ht="13.5" customHeight="1">
      <c r="A3" s="245"/>
      <c r="B3" s="31" t="s">
        <v>40</v>
      </c>
      <c r="C3" s="244" t="str">
        <f>COUNTIF('理事会'!B4:M4,"○")</f>
        <v>2/12</v>
      </c>
      <c r="D3" s="244" t="str">
        <f>COUNTIF('定例会・委員会'!C6:N6,"○")</f>
        <v>0/12</v>
      </c>
      <c r="E3" s="246"/>
      <c r="F3" s="245"/>
      <c r="G3" s="129" t="s">
        <v>59</v>
      </c>
      <c r="H3" s="244" t="str">
        <f>COUNTIF('理事会'!B21:M21,"○")</f>
        <v>2/12</v>
      </c>
      <c r="I3" s="244" t="str">
        <f>COUNTIF('定例会・委員会'!AB6:AM6,"○")</f>
        <v>0/12</v>
      </c>
      <c r="J3" s="246" t="str">
        <f>COUNTIF('定例会・委員会'!AN6:AX6,"○")</f>
        <v>4/11</v>
      </c>
      <c r="K3" s="245"/>
      <c r="L3" s="33" t="s">
        <v>86</v>
      </c>
      <c r="M3" s="244" t="str">
        <f>COUNTIF('理事会'!B23:N23,"○")</f>
        <v>3/12</v>
      </c>
      <c r="N3" s="244" t="str">
        <f>COUNTIF('定例会・委員会'!BA6:BL6,"○")</f>
        <v>0/12</v>
      </c>
      <c r="O3" s="246" t="str">
        <f>COUNTIF('定例会・委員会'!BM6:BW6,"○")</f>
        <v>4/11</v>
      </c>
      <c r="P3" s="1"/>
      <c r="Q3" s="1"/>
    </row>
    <row r="4" ht="13.5" customHeight="1">
      <c r="A4" s="245"/>
      <c r="B4" s="34" t="s">
        <v>41</v>
      </c>
      <c r="C4" s="244" t="str">
        <f>COUNTIF('理事会'!B5:M5,"○")</f>
        <v>3/12</v>
      </c>
      <c r="D4" s="244" t="str">
        <f>COUNTIF('定例会・委員会'!C7:N7,"○")</f>
        <v>0/12</v>
      </c>
      <c r="E4" s="246"/>
      <c r="F4" s="245"/>
      <c r="G4" s="129" t="s">
        <v>60</v>
      </c>
      <c r="H4" s="244"/>
      <c r="I4" s="244" t="str">
        <f>COUNTIF('定例会・委員会'!AB7:AM7,"○")</f>
        <v>0/12</v>
      </c>
      <c r="J4" s="246" t="str">
        <f>COUNTIF('定例会・委員会'!AN7:AX7,"○")</f>
        <v>1/11</v>
      </c>
      <c r="K4" s="245"/>
      <c r="L4" s="33" t="s">
        <v>87</v>
      </c>
      <c r="M4" s="244"/>
      <c r="N4" s="244" t="str">
        <f>COUNTIF('定例会・委員会'!BA7:BL7,"○")</f>
        <v>0/12</v>
      </c>
      <c r="O4" s="246" t="str">
        <f>COUNTIF('定例会・委員会'!BM7:BW7,"○")</f>
        <v>0/11</v>
      </c>
      <c r="P4" s="1"/>
      <c r="Q4" s="1"/>
    </row>
    <row r="5" ht="13.5" customHeight="1">
      <c r="A5" s="245"/>
      <c r="B5" s="34" t="s">
        <v>42</v>
      </c>
      <c r="C5" s="244" t="str">
        <f>COUNTIF('理事会'!B6:M6,"○")</f>
        <v>2/12</v>
      </c>
      <c r="D5" s="244" t="str">
        <f>COUNTIF('定例会・委員会'!C8:N8,"○")</f>
        <v>0/12</v>
      </c>
      <c r="E5" s="246"/>
      <c r="F5" s="245"/>
      <c r="G5" s="129" t="s">
        <v>61</v>
      </c>
      <c r="H5" s="244"/>
      <c r="I5" s="244" t="str">
        <f>COUNTIF('定例会・委員会'!AB8:AM8,"○")</f>
        <v>0/12</v>
      </c>
      <c r="J5" s="246" t="str">
        <f>COUNTIF('定例会・委員会'!AN8:AX8,"○")</f>
        <v>2/11</v>
      </c>
      <c r="K5" s="245"/>
      <c r="L5" s="33" t="s">
        <v>88</v>
      </c>
      <c r="M5" s="244"/>
      <c r="N5" s="247" t="str">
        <f>COUNTIF('定例会・委員会'!BA8:BL8,"○")</f>
        <v>0/9</v>
      </c>
      <c r="O5" s="248" t="str">
        <f>COUNTIF('定例会・委員会'!BM8:BW8,"○")</f>
        <v>4/9</v>
      </c>
      <c r="P5" s="1"/>
      <c r="Q5" s="1"/>
    </row>
    <row r="6" ht="13.5" customHeight="1">
      <c r="A6" s="245"/>
      <c r="B6" s="35" t="s">
        <v>43</v>
      </c>
      <c r="C6" s="244" t="str">
        <f>COUNTIF('理事会'!B7:M7,"○")</f>
        <v>3/12</v>
      </c>
      <c r="D6" s="244" t="str">
        <f>COUNTIF('定例会・委員会'!C9:N9,"○")</f>
        <v>0/12</v>
      </c>
      <c r="E6" s="246"/>
      <c r="F6" s="245"/>
      <c r="G6" s="135" t="s">
        <v>62</v>
      </c>
      <c r="H6" s="244"/>
      <c r="I6" s="244" t="str">
        <f>COUNTIF('定例会・委員会'!AB9:AM9,"○")</f>
        <v>0/12</v>
      </c>
      <c r="J6" s="246" t="str">
        <f>COUNTIF('定例会・委員会'!AN9:AX9,"○")</f>
        <v>2/11</v>
      </c>
      <c r="K6" s="245"/>
      <c r="L6" s="32" t="s">
        <v>89</v>
      </c>
      <c r="M6" s="244"/>
      <c r="N6" s="247" t="str">
        <f>COUNTIF('定例会・委員会'!BA9:BL9,"○")</f>
        <v>0/9</v>
      </c>
      <c r="O6" s="248" t="str">
        <f>COUNTIF('定例会・委員会'!BM9:BW9,"○")</f>
        <v>0/9</v>
      </c>
      <c r="P6" s="1"/>
      <c r="Q6" s="1"/>
    </row>
    <row r="7" ht="13.5" customHeight="1">
      <c r="A7" s="245"/>
      <c r="B7" s="34" t="s">
        <v>44</v>
      </c>
      <c r="C7" s="244" t="str">
        <f>COUNTIF('理事会'!B8:M8,"○")</f>
        <v>3/12</v>
      </c>
      <c r="D7" s="244" t="str">
        <f>COUNTIF('定例会・委員会'!C10:N10,"○")</f>
        <v>0/12</v>
      </c>
      <c r="E7" s="246"/>
      <c r="F7" s="245"/>
      <c r="G7" s="135" t="s">
        <v>63</v>
      </c>
      <c r="H7" s="244"/>
      <c r="I7" s="244" t="str">
        <f>COUNTIF('定例会・委員会'!AB10:AM10,"○")</f>
        <v>0/12</v>
      </c>
      <c r="J7" s="246" t="str">
        <f>COUNTIF('定例会・委員会'!AN10:AX10,"○")</f>
        <v>2/11</v>
      </c>
      <c r="K7" s="245"/>
      <c r="L7" s="33" t="s">
        <v>90</v>
      </c>
      <c r="M7" s="244"/>
      <c r="N7" s="244" t="str">
        <f>COUNTIF('定例会・委員会'!BA10:BL10,"○")</f>
        <v>0/12</v>
      </c>
      <c r="O7" s="246" t="str">
        <f>COUNTIF('定例会・委員会'!BM10:BW10,"○")</f>
        <v>1/11</v>
      </c>
      <c r="P7" s="1"/>
      <c r="Q7" s="1"/>
    </row>
    <row r="8" ht="13.5" customHeight="1">
      <c r="A8" s="245"/>
      <c r="B8" s="35" t="s">
        <v>45</v>
      </c>
      <c r="C8" s="244" t="str">
        <f>COUNTIF('理事会'!B9:M9,"○")</f>
        <v>3/12</v>
      </c>
      <c r="D8" s="244" t="str">
        <f>COUNTIF('定例会・委員会'!C11:N11,"○")</f>
        <v>0/12</v>
      </c>
      <c r="E8" s="246"/>
      <c r="F8" s="245"/>
      <c r="G8" s="135" t="s">
        <v>64</v>
      </c>
      <c r="H8" s="244"/>
      <c r="I8" s="244" t="str">
        <f>COUNTIF('定例会・委員会'!AB11:AM11,"○")</f>
        <v>0/12</v>
      </c>
      <c r="J8" s="246" t="str">
        <f>COUNTIF('定例会・委員会'!AN11:AX11,"○")</f>
        <v>3/11</v>
      </c>
      <c r="K8" s="245"/>
      <c r="L8" s="33"/>
      <c r="M8" s="244"/>
      <c r="N8" s="244" t="str">
        <f>COUNTIF('定例会・委員会'!BA11:BL11,"○")</f>
        <v>0/12</v>
      </c>
      <c r="O8" s="246" t="str">
        <f>COUNTIF('定例会・委員会'!BM11:BW11,"○")</f>
        <v>0/11</v>
      </c>
      <c r="P8" s="1"/>
      <c r="Q8" s="1"/>
    </row>
    <row r="9" ht="13.5" customHeight="1">
      <c r="A9" s="245"/>
      <c r="B9" s="34" t="s">
        <v>46</v>
      </c>
      <c r="C9" s="244" t="str">
        <f>COUNTIF('理事会'!B10:M10,"○")</f>
        <v>3/12</v>
      </c>
      <c r="D9" s="244" t="str">
        <f>COUNTIF('定例会・委員会'!C12:N12,"○")</f>
        <v>0/12</v>
      </c>
      <c r="E9" s="246"/>
      <c r="F9" s="249"/>
      <c r="G9" s="135" t="s">
        <v>65</v>
      </c>
      <c r="H9" s="244"/>
      <c r="I9" s="244" t="str">
        <f>COUNTIF('定例会・委員会'!AB12:AM12,"○")</f>
        <v>0/12</v>
      </c>
      <c r="J9" s="246" t="str">
        <f>COUNTIF('定例会・委員会'!AN12:AX12,"○")</f>
        <v>1/11</v>
      </c>
      <c r="K9" s="245"/>
      <c r="L9" s="33"/>
      <c r="M9" s="244"/>
      <c r="N9" s="244" t="str">
        <f>COUNTIF('定例会・委員会'!BA12:BL12,"○")</f>
        <v>0/12</v>
      </c>
      <c r="O9" s="246" t="str">
        <f>COUNTIF('定例会・委員会'!BM12:BW12,"○")</f>
        <v>0/11</v>
      </c>
      <c r="P9" s="1"/>
      <c r="Q9" s="1"/>
    </row>
    <row r="10" ht="13.5" customHeight="1">
      <c r="A10" s="245"/>
      <c r="B10" s="34" t="s">
        <v>47</v>
      </c>
      <c r="C10" s="244" t="str">
        <f>COUNTIF('理事会'!B11:M11,"○")</f>
        <v>3/12</v>
      </c>
      <c r="D10" s="244" t="str">
        <f>COUNTIF('定例会・委員会'!C13:N13,"○")</f>
        <v>0/12</v>
      </c>
      <c r="E10" s="246"/>
      <c r="F10" s="250"/>
      <c r="G10" s="34"/>
      <c r="H10" s="244"/>
      <c r="I10" s="251"/>
      <c r="J10" s="252"/>
      <c r="K10" s="245"/>
      <c r="L10" s="69"/>
      <c r="M10" s="244"/>
      <c r="N10" s="244"/>
      <c r="O10" s="246"/>
      <c r="P10" s="1"/>
      <c r="Q10" s="1"/>
    </row>
    <row r="11" ht="13.5" customHeight="1">
      <c r="A11" s="245"/>
      <c r="B11" s="69"/>
      <c r="C11" s="244"/>
      <c r="D11" s="244"/>
      <c r="E11" s="246"/>
      <c r="F11" s="253"/>
      <c r="G11" s="254"/>
      <c r="H11" s="81"/>
      <c r="I11" s="255"/>
      <c r="J11" s="256"/>
      <c r="K11" s="245"/>
      <c r="L11" s="34"/>
      <c r="M11" s="244"/>
      <c r="N11" s="244"/>
      <c r="O11" s="246"/>
      <c r="P11" s="1"/>
      <c r="Q11" s="1"/>
    </row>
    <row r="12" ht="13.5" customHeight="1">
      <c r="A12" s="245"/>
      <c r="B12" s="254"/>
      <c r="C12" s="244"/>
      <c r="D12" s="244"/>
      <c r="E12" s="246"/>
      <c r="F12" s="253"/>
      <c r="G12" s="257"/>
      <c r="H12" s="168"/>
      <c r="I12" s="258"/>
      <c r="J12" s="247"/>
      <c r="K12" s="249"/>
      <c r="L12" s="34"/>
      <c r="M12" s="244"/>
      <c r="N12" s="244"/>
      <c r="O12" s="246"/>
      <c r="P12" s="1"/>
      <c r="Q12" s="1"/>
    </row>
    <row r="13" ht="13.5" customHeight="1">
      <c r="A13" s="245"/>
      <c r="B13" s="254"/>
      <c r="C13" s="244"/>
      <c r="D13" s="244"/>
      <c r="E13" s="259"/>
      <c r="F13" s="260"/>
      <c r="G13" s="261"/>
      <c r="H13" s="148"/>
      <c r="I13" s="262"/>
      <c r="J13" s="263"/>
      <c r="K13" s="260" t="s">
        <v>137</v>
      </c>
      <c r="L13" s="148"/>
      <c r="M13" s="264"/>
      <c r="N13" s="264"/>
      <c r="O13" s="265"/>
      <c r="P13" s="1"/>
      <c r="Q13" s="1"/>
    </row>
    <row r="14" ht="13.5" customHeight="1">
      <c r="A14" s="245"/>
      <c r="B14" s="69"/>
      <c r="C14" s="244"/>
      <c r="D14" s="244"/>
      <c r="E14" s="266"/>
      <c r="F14" s="267" t="s">
        <v>66</v>
      </c>
      <c r="G14" s="81" t="s">
        <v>67</v>
      </c>
      <c r="H14" s="268" t="str">
        <f>COUNTIF('理事会'!B13:M13,"○")</f>
        <v>3/12</v>
      </c>
      <c r="I14" s="268" t="str">
        <f>COUNTIF('定例会・委員会'!AB17:AM17,"○")</f>
        <v>0/12</v>
      </c>
      <c r="J14" s="269" t="str">
        <f>COUNTIF('定例会・委員会'!AN17:AX17,"○")</f>
        <v>4/11</v>
      </c>
      <c r="K14" s="270" t="s">
        <v>91</v>
      </c>
      <c r="L14" s="46" t="s">
        <v>92</v>
      </c>
      <c r="M14" s="244" t="str">
        <f>COUNTIF('理事会'!B16:N16,"○")</f>
        <v>3/12</v>
      </c>
      <c r="N14" s="268" t="str">
        <f>COUNTIF('定例会・委員会'!BA17:BL17,"○")</f>
        <v>0/12</v>
      </c>
      <c r="O14" s="269" t="str">
        <f>COUNTIF('定例会・委員会'!BM17:BW17,"○")</f>
        <v>4/11</v>
      </c>
      <c r="P14" s="1"/>
      <c r="Q14" s="1"/>
    </row>
    <row r="15" ht="13.5" customHeight="1">
      <c r="A15" s="249"/>
      <c r="B15" s="195"/>
      <c r="C15" s="135"/>
      <c r="D15" s="135"/>
      <c r="E15" s="266"/>
      <c r="F15" s="245"/>
      <c r="G15" s="33" t="s">
        <v>68</v>
      </c>
      <c r="H15" s="268" t="str">
        <f>COUNTIF('理事会'!B25:M25,"○")</f>
        <v>2/12</v>
      </c>
      <c r="I15" s="268" t="str">
        <f>COUNTIF('定例会・委員会'!AB18:AM18,"○")</f>
        <v>0/12</v>
      </c>
      <c r="J15" s="269" t="str">
        <f>COUNTIF('定例会・委員会'!AN18:AX18,"○")</f>
        <v>4/11</v>
      </c>
      <c r="K15" s="245"/>
      <c r="L15" s="34" t="s">
        <v>93</v>
      </c>
      <c r="M15" s="244" t="str">
        <f>COUNTIF('理事会'!B24:N24,"○")</f>
        <v>2/12</v>
      </c>
      <c r="N15" s="268" t="str">
        <f>COUNTIF('定例会・委員会'!BA18:BL18,"○")</f>
        <v>0/12</v>
      </c>
      <c r="O15" s="269" t="str">
        <f>COUNTIF('定例会・委員会'!BM18:BW18,"○")</f>
        <v>4/11</v>
      </c>
      <c r="P15" s="1"/>
      <c r="Q15" s="1"/>
    </row>
    <row r="16" ht="13.5" customHeight="1">
      <c r="A16" s="271"/>
      <c r="B16" s="84"/>
      <c r="C16" s="272"/>
      <c r="D16" s="272"/>
      <c r="E16" s="273"/>
      <c r="F16" s="245"/>
      <c r="G16" s="33" t="s">
        <v>69</v>
      </c>
      <c r="H16" s="268"/>
      <c r="I16" s="268" t="str">
        <f>COUNTIF('定例会・委員会'!AB19:AM19,"○")</f>
        <v>0/12</v>
      </c>
      <c r="J16" s="269" t="str">
        <f>COUNTIF('定例会・委員会'!AN19:AX19,"○")</f>
        <v>3/11</v>
      </c>
      <c r="K16" s="245"/>
      <c r="L16" s="34" t="s">
        <v>94</v>
      </c>
      <c r="M16" s="274"/>
      <c r="N16" s="275" t="str">
        <f>COUNTIF('定例会・委員会'!BA19:BL19,"○")</f>
        <v>0/12</v>
      </c>
      <c r="O16" s="276" t="str">
        <f>COUNTIF('定例会・委員会'!BM19:BW19,"○")</f>
        <v>3/11</v>
      </c>
      <c r="P16" s="1"/>
      <c r="Q16" s="1"/>
    </row>
    <row r="17" ht="13.5" customHeight="1">
      <c r="A17" s="277"/>
      <c r="B17" s="34"/>
      <c r="C17" s="278"/>
      <c r="D17" s="278"/>
      <c r="E17" s="279"/>
      <c r="F17" s="245"/>
      <c r="G17" s="32" t="s">
        <v>70</v>
      </c>
      <c r="H17" s="268"/>
      <c r="I17" s="268" t="str">
        <f>COUNTIF('定例会・委員会'!AB20:AM20,"○")</f>
        <v>0/12</v>
      </c>
      <c r="J17" s="269" t="str">
        <f>COUNTIF('定例会・委員会'!AN20:AX20,"○")</f>
        <v>0/11</v>
      </c>
      <c r="K17" s="245"/>
      <c r="L17" s="76" t="s">
        <v>95</v>
      </c>
      <c r="M17" s="244"/>
      <c r="N17" s="278" t="str">
        <f>COUNTIF('定例会・委員会'!BA20:BL20,"○")</f>
        <v>0/12</v>
      </c>
      <c r="O17" s="246" t="str">
        <f>COUNTIF('定例会・委員会'!BM20:BW20,"○")</f>
        <v>0/11</v>
      </c>
      <c r="P17" s="1"/>
      <c r="Q17" s="1"/>
    </row>
    <row r="18" ht="13.5" customHeight="1">
      <c r="A18" s="277"/>
      <c r="B18" s="34"/>
      <c r="C18" s="278"/>
      <c r="D18" s="278"/>
      <c r="E18" s="279"/>
      <c r="F18" s="245"/>
      <c r="G18" s="168" t="s">
        <v>71</v>
      </c>
      <c r="H18" s="268"/>
      <c r="I18" s="268" t="str">
        <f>COUNTIF('定例会・委員会'!AB21:AM21,"○")</f>
        <v>0/12</v>
      </c>
      <c r="J18" s="269" t="str">
        <f>COUNTIF('定例会・委員会'!AN21:AX21,"○")</f>
        <v>3/11</v>
      </c>
      <c r="K18" s="245"/>
      <c r="L18" s="34" t="s">
        <v>96</v>
      </c>
      <c r="M18" s="244"/>
      <c r="N18" s="278" t="str">
        <f>COUNTIF('定例会・委員会'!BA21:BL21,"○")</f>
        <v>0/12</v>
      </c>
      <c r="O18" s="246" t="str">
        <f>COUNTIF('定例会・委員会'!BM21:BW21,"○")</f>
        <v>1/11</v>
      </c>
      <c r="P18" s="1"/>
      <c r="Q18" s="1"/>
    </row>
    <row r="19" ht="13.5" customHeight="1">
      <c r="A19" s="280"/>
      <c r="B19" s="171"/>
      <c r="C19" s="281"/>
      <c r="D19" s="281"/>
      <c r="E19" s="282"/>
      <c r="F19" s="245"/>
      <c r="G19" s="33" t="s">
        <v>72</v>
      </c>
      <c r="H19" s="268"/>
      <c r="I19" s="268" t="str">
        <f>COUNTIF('定例会・委員会'!AB22:AM22,"○")</f>
        <v>0/12</v>
      </c>
      <c r="J19" s="269" t="str">
        <f>COUNTIF('定例会・委員会'!AN22:AX22,"○")</f>
        <v>2/11</v>
      </c>
      <c r="K19" s="245"/>
      <c r="L19" s="34" t="s">
        <v>97</v>
      </c>
      <c r="M19" s="244"/>
      <c r="N19" s="278" t="str">
        <f>COUNTIF('定例会・委員会'!BA22:BL22,"○")</f>
        <v>0/12</v>
      </c>
      <c r="O19" s="246" t="str">
        <f>COUNTIF('定例会・委員会'!BM22:BW22,"○")</f>
        <v>2/11</v>
      </c>
      <c r="P19" s="1"/>
      <c r="Q19" s="1"/>
    </row>
    <row r="20" ht="13.5" customHeight="1">
      <c r="A20" s="267" t="s">
        <v>49</v>
      </c>
      <c r="B20" s="46" t="s">
        <v>50</v>
      </c>
      <c r="C20" s="268"/>
      <c r="D20" s="268" t="str">
        <f>COUNTIF('定例会・委員会'!C24:N24,"○")</f>
        <v>0/12</v>
      </c>
      <c r="E20" s="283" t="str">
        <f>COUNTIF('定例会・委員会'!O24:Y24,"○")</f>
        <v>4/11</v>
      </c>
      <c r="F20" s="245"/>
      <c r="G20" s="33" t="s">
        <v>73</v>
      </c>
      <c r="H20" s="268"/>
      <c r="I20" s="268" t="str">
        <f>COUNTIF('定例会・委員会'!AB23:AM23,"○")</f>
        <v>0/12</v>
      </c>
      <c r="J20" s="269" t="str">
        <f>COUNTIF('定例会・委員会'!AN23:AX23,"○")</f>
        <v>4/11</v>
      </c>
      <c r="K20" s="245"/>
      <c r="L20" s="284"/>
      <c r="M20" s="268"/>
      <c r="N20" s="268"/>
      <c r="O20" s="269"/>
      <c r="P20" s="1"/>
      <c r="Q20" s="1"/>
    </row>
    <row r="21" ht="13.5" customHeight="1">
      <c r="A21" s="245"/>
      <c r="B21" s="34" t="s">
        <v>51</v>
      </c>
      <c r="C21" s="244" t="str">
        <f>COUNTIF('理事会'!B20:M20,"○")</f>
        <v>3/12</v>
      </c>
      <c r="D21" s="244" t="str">
        <f>COUNTIF('定例会・委員会'!C25:N25,"○")</f>
        <v>0/12</v>
      </c>
      <c r="E21" s="251" t="str">
        <f>COUNTIF('定例会・委員会'!O25:Y25,"○")</f>
        <v>3/11</v>
      </c>
      <c r="F21" s="249"/>
      <c r="G21" s="33" t="s">
        <v>74</v>
      </c>
      <c r="H21" s="244"/>
      <c r="I21" s="268" t="str">
        <f>COUNTIF('定例会・委員会'!AB24:AM24,"○")</f>
        <v>0/12</v>
      </c>
      <c r="J21" s="269" t="str">
        <f>COUNTIF('定例会・委員会'!AN24:AX24,"○")</f>
        <v>3/11</v>
      </c>
      <c r="K21" s="245"/>
      <c r="L21" s="34"/>
      <c r="M21" s="268"/>
      <c r="N21" s="244"/>
      <c r="O21" s="246"/>
      <c r="P21" s="1"/>
      <c r="Q21" s="1"/>
    </row>
    <row r="22" ht="13.5" customHeight="1">
      <c r="A22" s="245"/>
      <c r="B22" s="34" t="s">
        <v>52</v>
      </c>
      <c r="C22" s="244"/>
      <c r="D22" s="244" t="str">
        <f>COUNTIF('定例会・委員会'!C26:N26,"○")</f>
        <v>0/12</v>
      </c>
      <c r="E22" s="251" t="str">
        <f>COUNTIF('定例会・委員会'!O26:Y26,"○")</f>
        <v>2/11</v>
      </c>
      <c r="F22" s="285"/>
      <c r="G22" s="33" t="s">
        <v>75</v>
      </c>
      <c r="H22" s="244"/>
      <c r="I22" s="244"/>
      <c r="J22" s="246"/>
      <c r="K22" s="245"/>
      <c r="L22" s="172"/>
      <c r="M22" s="244"/>
      <c r="N22" s="244"/>
      <c r="O22" s="246"/>
      <c r="P22" s="1"/>
      <c r="Q22" s="1"/>
    </row>
    <row r="23" ht="13.5" customHeight="1">
      <c r="A23" s="245"/>
      <c r="B23" s="34" t="s">
        <v>53</v>
      </c>
      <c r="C23" s="244"/>
      <c r="D23" s="244" t="str">
        <f>COUNTIF('定例会・委員会'!C27:N27,"○")</f>
        <v>0/12</v>
      </c>
      <c r="E23" s="251" t="str">
        <f>COUNTIF('定例会・委員会'!O27:Y27,"○")</f>
        <v>2/11</v>
      </c>
      <c r="F23" s="285"/>
      <c r="G23" s="33" t="s">
        <v>76</v>
      </c>
      <c r="H23" s="244"/>
      <c r="I23" s="244"/>
      <c r="J23" s="246"/>
      <c r="K23" s="245"/>
      <c r="L23" s="34"/>
      <c r="M23" s="244"/>
      <c r="N23" s="244"/>
      <c r="O23" s="246"/>
      <c r="P23" s="1"/>
      <c r="Q23" s="1"/>
    </row>
    <row r="24" ht="13.5" customHeight="1">
      <c r="A24" s="245"/>
      <c r="B24" s="34" t="s">
        <v>54</v>
      </c>
      <c r="C24" s="244"/>
      <c r="D24" s="244" t="str">
        <f>COUNTIF('定例会・委員会'!C28:N28,"○")</f>
        <v>0/12</v>
      </c>
      <c r="E24" s="251" t="str">
        <f>COUNTIF('定例会・委員会'!O28:Y28,"○")</f>
        <v>3/11</v>
      </c>
      <c r="F24" s="285"/>
      <c r="G24" s="34"/>
      <c r="H24" s="244"/>
      <c r="I24" s="244"/>
      <c r="J24" s="246"/>
      <c r="K24" s="245"/>
      <c r="L24" s="34"/>
      <c r="M24" s="268"/>
      <c r="N24" s="244"/>
      <c r="O24" s="246"/>
      <c r="P24" s="1"/>
      <c r="Q24" s="1"/>
    </row>
    <row r="25" ht="13.5" customHeight="1">
      <c r="A25" s="245"/>
      <c r="B25" s="31" t="s">
        <v>55</v>
      </c>
      <c r="C25" s="244"/>
      <c r="D25" s="244" t="str">
        <f>COUNTIF('定例会・委員会'!C29:N29,"○")</f>
        <v>0/12</v>
      </c>
      <c r="E25" s="251" t="str">
        <f>COUNTIF('定例会・委員会'!O29:Y29,"○")</f>
        <v>3/11</v>
      </c>
      <c r="F25" s="286"/>
      <c r="G25" s="152"/>
      <c r="H25" s="264"/>
      <c r="I25" s="264"/>
      <c r="J25" s="265"/>
      <c r="K25" s="287"/>
      <c r="L25" s="148"/>
      <c r="M25" s="264"/>
      <c r="N25" s="264"/>
      <c r="O25" s="265"/>
      <c r="P25" s="1"/>
      <c r="Q25" s="1"/>
    </row>
    <row r="26" ht="13.5" customHeight="1">
      <c r="A26" s="245"/>
      <c r="B26" s="31"/>
      <c r="C26" s="244"/>
      <c r="D26" s="244"/>
      <c r="E26" s="251"/>
      <c r="F26" s="288" t="s">
        <v>77</v>
      </c>
      <c r="G26" s="82" t="s">
        <v>78</v>
      </c>
      <c r="H26" s="268" t="str">
        <f>COUNTIF('理事会'!B14:M14,"○")</f>
        <v>3/12</v>
      </c>
      <c r="I26" s="268" t="str">
        <f>COUNTIF('定例会・委員会'!AB30:AM30,"○")</f>
        <v>0/12</v>
      </c>
      <c r="J26" s="269" t="str">
        <f>COUNTIF('定例会・委員会'!AN30:AX30,"○")</f>
        <v>4/11</v>
      </c>
      <c r="K26" s="289"/>
      <c r="L26" s="46"/>
      <c r="M26" s="268"/>
      <c r="N26" s="268"/>
      <c r="O26" s="269"/>
      <c r="P26" s="1"/>
      <c r="Q26" s="1"/>
    </row>
    <row r="27" ht="13.5" customHeight="1">
      <c r="A27" s="249"/>
      <c r="B27" s="34"/>
      <c r="C27" s="244"/>
      <c r="D27" s="290"/>
      <c r="E27" s="291"/>
      <c r="F27" s="245"/>
      <c r="G27" s="33" t="s">
        <v>79</v>
      </c>
      <c r="H27" s="268" t="str">
        <f>COUNTIF('理事会'!B22:M22,"○")</f>
        <v>3/12</v>
      </c>
      <c r="I27" s="244" t="str">
        <f>COUNTIF('定例会・委員会'!AB31:AM31,"○")</f>
        <v>0/12</v>
      </c>
      <c r="J27" s="246" t="str">
        <f>COUNTIF('定例会・委員会'!AN31:AX31,"○")</f>
        <v>4/11</v>
      </c>
      <c r="K27" s="292"/>
      <c r="L27" s="293"/>
      <c r="M27" s="244"/>
      <c r="N27" s="244"/>
      <c r="O27" s="246"/>
      <c r="P27" s="1"/>
      <c r="Q27" s="294"/>
    </row>
    <row r="28" ht="13.5" customHeight="1">
      <c r="A28" s="295"/>
      <c r="B28" s="34"/>
      <c r="C28" s="244"/>
      <c r="D28" s="290"/>
      <c r="E28" s="291"/>
      <c r="F28" s="245"/>
      <c r="G28" s="33" t="s">
        <v>80</v>
      </c>
      <c r="H28" s="244"/>
      <c r="I28" s="244" t="str">
        <f>COUNTIF('定例会・委員会'!AB32:AM32,"○")</f>
        <v>0/12</v>
      </c>
      <c r="J28" s="246" t="str">
        <f>COUNTIF('定例会・委員会'!AN32:AX32,"○")</f>
        <v>2/11</v>
      </c>
      <c r="K28" s="292"/>
      <c r="L28" s="172"/>
      <c r="M28" s="33"/>
      <c r="N28" s="290"/>
      <c r="O28" s="296"/>
      <c r="P28" s="1"/>
      <c r="Q28" s="1"/>
    </row>
    <row r="29" ht="13.5" customHeight="1">
      <c r="A29" s="245"/>
      <c r="B29" s="34"/>
      <c r="C29" s="33"/>
      <c r="D29" s="290"/>
      <c r="E29" s="291"/>
      <c r="F29" s="245"/>
      <c r="G29" s="189" t="s">
        <v>81</v>
      </c>
      <c r="H29" s="244"/>
      <c r="I29" s="244" t="str">
        <f>COUNTIF('定例会・委員会'!AB33:AM33,"○")</f>
        <v>0/12</v>
      </c>
      <c r="J29" s="246" t="str">
        <f>COUNTIF('定例会・委員会'!AN33:AX33,"○")</f>
        <v>0/11</v>
      </c>
      <c r="K29" s="292"/>
      <c r="L29" s="293"/>
      <c r="M29" s="127"/>
      <c r="N29" s="290"/>
      <c r="O29" s="296"/>
      <c r="P29" s="1"/>
      <c r="Q29" s="1"/>
    </row>
    <row r="30" ht="13.5" customHeight="1">
      <c r="A30" s="245"/>
      <c r="B30" s="34"/>
      <c r="C30" s="129"/>
      <c r="D30" s="135"/>
      <c r="E30" s="129"/>
      <c r="F30" s="245"/>
      <c r="G30" s="189" t="s">
        <v>82</v>
      </c>
      <c r="H30" s="244"/>
      <c r="I30" s="244" t="str">
        <f>COUNTIF('定例会・委員会'!AB34:AM34,"○")</f>
        <v>0/12</v>
      </c>
      <c r="J30" s="246" t="str">
        <f>COUNTIF('定例会・委員会'!AN34:AX34,"○")</f>
        <v>1/11</v>
      </c>
      <c r="K30" s="292"/>
      <c r="L30" s="35"/>
      <c r="M30" s="297"/>
      <c r="N30" s="290"/>
      <c r="O30" s="296"/>
      <c r="P30" s="1"/>
      <c r="Q30" s="1"/>
    </row>
    <row r="31" ht="13.5" customHeight="1">
      <c r="A31" s="245"/>
      <c r="B31" s="34"/>
      <c r="C31" s="129"/>
      <c r="D31" s="33"/>
      <c r="E31" s="129"/>
      <c r="F31" s="245"/>
      <c r="G31" s="33" t="s">
        <v>83</v>
      </c>
      <c r="H31" s="189"/>
      <c r="I31" s="258"/>
      <c r="J31" s="247"/>
      <c r="K31" s="292"/>
      <c r="L31" s="35"/>
      <c r="M31" s="297"/>
      <c r="N31" s="290"/>
      <c r="O31" s="296"/>
      <c r="P31" s="1"/>
      <c r="Q31" s="1"/>
    </row>
    <row r="32" ht="13.5" customHeight="1">
      <c r="A32" s="245"/>
      <c r="B32" s="34"/>
      <c r="C32" s="129"/>
      <c r="D32" s="135"/>
      <c r="E32" s="129"/>
      <c r="F32" s="245"/>
      <c r="G32" s="76"/>
      <c r="H32" s="189"/>
      <c r="I32" s="258"/>
      <c r="J32" s="247"/>
      <c r="K32" s="292"/>
      <c r="L32" s="35"/>
      <c r="M32" s="297"/>
      <c r="N32" s="297"/>
      <c r="O32" s="298"/>
      <c r="P32" s="1"/>
      <c r="Q32" s="1"/>
    </row>
    <row r="33" ht="13.5" customHeight="1">
      <c r="A33" s="245"/>
      <c r="B33" s="34"/>
      <c r="C33" s="33"/>
      <c r="D33" s="135"/>
      <c r="E33" s="129"/>
      <c r="F33" s="245"/>
      <c r="G33" s="299"/>
      <c r="H33" s="189"/>
      <c r="I33" s="247"/>
      <c r="J33" s="300"/>
      <c r="K33" s="292"/>
      <c r="L33" s="301"/>
      <c r="M33" s="297"/>
      <c r="N33" s="297"/>
      <c r="O33" s="259"/>
      <c r="P33" s="1"/>
      <c r="Q33" s="1"/>
    </row>
    <row r="34" ht="13.5" customHeight="1">
      <c r="A34" s="245"/>
      <c r="B34" s="34"/>
      <c r="C34" s="129"/>
      <c r="D34" s="33"/>
      <c r="E34" s="129"/>
      <c r="F34" s="245"/>
      <c r="G34" s="299"/>
      <c r="H34" s="189"/>
      <c r="I34" s="247"/>
      <c r="J34" s="300"/>
      <c r="K34" s="292"/>
      <c r="L34" s="301"/>
      <c r="M34" s="297"/>
      <c r="N34" s="297"/>
      <c r="O34" s="259"/>
      <c r="P34" s="1"/>
      <c r="Q34" s="1"/>
    </row>
    <row r="35" ht="13.5" customHeight="1">
      <c r="A35" s="245"/>
      <c r="B35" s="72"/>
      <c r="C35" s="129"/>
      <c r="D35" s="33"/>
      <c r="E35" s="259"/>
      <c r="F35" s="245"/>
      <c r="G35" s="191"/>
      <c r="H35" s="189"/>
      <c r="I35" s="302"/>
      <c r="J35" s="290"/>
      <c r="K35" s="292"/>
      <c r="L35" s="35"/>
      <c r="M35" s="297"/>
      <c r="N35" s="297"/>
      <c r="O35" s="298"/>
      <c r="P35" s="1"/>
      <c r="Q35" s="1"/>
    </row>
    <row r="36" ht="13.5" customHeight="1">
      <c r="A36" s="245"/>
      <c r="B36" s="69"/>
      <c r="C36" s="135"/>
      <c r="D36" s="135"/>
      <c r="E36" s="266"/>
      <c r="F36" s="245"/>
      <c r="G36" s="191"/>
      <c r="H36" s="189"/>
      <c r="I36" s="302"/>
      <c r="J36" s="290"/>
      <c r="K36" s="292"/>
      <c r="L36" s="50"/>
      <c r="M36" s="303"/>
      <c r="N36" s="303"/>
      <c r="O36" s="304"/>
      <c r="P36" s="1"/>
      <c r="Q36" s="1"/>
    </row>
    <row r="37" ht="13.5" customHeight="1">
      <c r="A37" s="245"/>
      <c r="B37" s="69"/>
      <c r="C37" s="135"/>
      <c r="D37" s="135"/>
      <c r="E37" s="266"/>
      <c r="F37" s="245"/>
      <c r="G37" s="191"/>
      <c r="H37" s="189"/>
      <c r="I37" s="290"/>
      <c r="J37" s="291"/>
      <c r="K37" s="292"/>
      <c r="L37" s="34"/>
      <c r="M37" s="303"/>
      <c r="N37" s="303"/>
      <c r="O37" s="304"/>
      <c r="P37" s="1"/>
      <c r="Q37" s="1"/>
    </row>
    <row r="38" ht="13.5" customHeight="1">
      <c r="A38" s="245"/>
      <c r="B38" s="69"/>
      <c r="C38" s="135"/>
      <c r="D38" s="135"/>
      <c r="E38" s="266"/>
      <c r="F38" s="305"/>
      <c r="G38" s="191"/>
      <c r="H38" s="189"/>
      <c r="I38" s="290"/>
      <c r="J38" s="291"/>
      <c r="K38" s="292"/>
      <c r="L38" s="301"/>
      <c r="M38" s="303"/>
      <c r="N38" s="303"/>
      <c r="O38" s="304"/>
      <c r="P38" s="1"/>
      <c r="Q38" s="1"/>
    </row>
    <row r="39" ht="14.25" customHeight="1">
      <c r="A39" s="306"/>
      <c r="B39" s="115"/>
      <c r="C39" s="198"/>
      <c r="D39" s="198"/>
      <c r="E39" s="307"/>
      <c r="F39" s="308"/>
      <c r="G39" s="309"/>
      <c r="H39" s="310"/>
      <c r="I39" s="311"/>
      <c r="J39" s="312"/>
      <c r="K39" s="313"/>
      <c r="L39" s="314"/>
      <c r="M39" s="198"/>
      <c r="N39" s="198"/>
      <c r="O39" s="307"/>
      <c r="P39" s="1"/>
      <c r="Q39" s="1"/>
    </row>
    <row r="40" ht="13.5" customHeight="1">
      <c r="A40" s="1"/>
      <c r="B40" s="1"/>
      <c r="C40" s="50"/>
      <c r="D40" s="50"/>
      <c r="E40" s="50"/>
      <c r="F40" s="1"/>
      <c r="G40" s="50"/>
      <c r="H40" s="1"/>
      <c r="I40" s="1"/>
      <c r="J40" s="1"/>
      <c r="K40" s="1"/>
      <c r="L40" s="50"/>
      <c r="M40" s="50"/>
      <c r="N40" s="50"/>
      <c r="O40" s="50"/>
      <c r="P40" s="1"/>
      <c r="Q40" s="1"/>
    </row>
    <row r="41" ht="13.5" customHeight="1">
      <c r="A41" s="1"/>
      <c r="B41" s="1"/>
      <c r="C41" s="50"/>
      <c r="D41" s="50"/>
      <c r="E41" s="50"/>
      <c r="F41" s="1"/>
      <c r="G41" s="50"/>
      <c r="H41" s="1"/>
      <c r="I41" s="1"/>
      <c r="J41" s="1"/>
      <c r="K41" s="1"/>
      <c r="L41" s="50"/>
      <c r="M41" s="50"/>
      <c r="N41" s="50"/>
      <c r="O41" s="50"/>
      <c r="P41" s="1"/>
      <c r="Q41" s="1"/>
    </row>
    <row r="42" ht="13.5" customHeight="1">
      <c r="A42" s="1"/>
      <c r="B42" s="1"/>
      <c r="C42" s="50"/>
      <c r="D42" s="50"/>
      <c r="E42" s="50"/>
      <c r="F42" s="1"/>
      <c r="G42" s="50"/>
      <c r="H42" s="1"/>
      <c r="I42" s="1"/>
      <c r="J42" s="1"/>
      <c r="K42" s="1"/>
      <c r="L42" s="50"/>
      <c r="M42" s="50"/>
      <c r="N42" s="50"/>
      <c r="O42" s="50"/>
      <c r="P42" s="1"/>
      <c r="Q42" s="1"/>
    </row>
    <row r="43" ht="13.5" customHeight="1">
      <c r="A43" s="1"/>
      <c r="B43" s="1"/>
      <c r="C43" s="50"/>
      <c r="D43" s="50"/>
      <c r="E43" s="50"/>
      <c r="F43" s="1"/>
      <c r="G43" s="50"/>
      <c r="H43" s="1"/>
      <c r="I43" s="1"/>
      <c r="J43" s="1"/>
      <c r="K43" s="1"/>
      <c r="L43" s="50"/>
      <c r="M43" s="50"/>
      <c r="N43" s="50"/>
      <c r="O43" s="50"/>
      <c r="P43" s="1"/>
      <c r="Q43" s="1"/>
    </row>
    <row r="44" ht="13.5" customHeight="1">
      <c r="A44" s="1"/>
      <c r="B44" s="1"/>
      <c r="C44" s="50"/>
      <c r="D44" s="50"/>
      <c r="E44" s="50"/>
      <c r="F44" s="1"/>
      <c r="G44" s="50"/>
      <c r="H44" s="1"/>
      <c r="I44" s="1"/>
      <c r="J44" s="1"/>
      <c r="K44" s="1"/>
      <c r="L44" s="50"/>
      <c r="M44" s="50"/>
      <c r="N44" s="50"/>
      <c r="O44" s="50"/>
      <c r="P44" s="1"/>
      <c r="Q44" s="1"/>
    </row>
    <row r="45" ht="13.5" customHeight="1">
      <c r="A45" s="1"/>
      <c r="B45" s="1"/>
      <c r="C45" s="50"/>
      <c r="D45" s="50"/>
      <c r="E45" s="50"/>
      <c r="F45" s="1"/>
      <c r="G45" s="50"/>
      <c r="H45" s="1"/>
      <c r="I45" s="1"/>
      <c r="J45" s="1"/>
      <c r="K45" s="1"/>
      <c r="L45" s="50"/>
      <c r="M45" s="50"/>
      <c r="N45" s="50"/>
      <c r="O45" s="50"/>
      <c r="P45" s="1"/>
      <c r="Q45" s="1"/>
    </row>
    <row r="46" ht="13.5" customHeight="1">
      <c r="A46" s="1"/>
      <c r="B46" s="1"/>
      <c r="C46" s="50"/>
      <c r="D46" s="50"/>
      <c r="E46" s="50"/>
      <c r="F46" s="1"/>
      <c r="G46" s="50"/>
      <c r="H46" s="1"/>
      <c r="I46" s="1"/>
      <c r="J46" s="1"/>
      <c r="K46" s="1"/>
      <c r="L46" s="50"/>
      <c r="M46" s="50"/>
      <c r="N46" s="50"/>
      <c r="O46" s="50"/>
      <c r="P46" s="1"/>
      <c r="Q46" s="1"/>
    </row>
    <row r="47" ht="13.5" customHeight="1">
      <c r="A47" s="1"/>
      <c r="B47" s="1"/>
      <c r="C47" s="50"/>
      <c r="D47" s="50"/>
      <c r="E47" s="50"/>
      <c r="F47" s="1"/>
      <c r="G47" s="50"/>
      <c r="H47" s="1"/>
      <c r="I47" s="1"/>
      <c r="J47" s="1"/>
      <c r="K47" s="1"/>
      <c r="L47" s="50"/>
      <c r="M47" s="50"/>
      <c r="N47" s="50"/>
      <c r="O47" s="50"/>
      <c r="P47" s="1"/>
      <c r="Q47" s="1"/>
    </row>
    <row r="48" ht="13.5" customHeight="1">
      <c r="A48" s="1"/>
      <c r="B48" s="1"/>
      <c r="C48" s="50"/>
      <c r="D48" s="50"/>
      <c r="E48" s="50"/>
      <c r="F48" s="1"/>
      <c r="G48" s="50"/>
      <c r="H48" s="1"/>
      <c r="I48" s="1"/>
      <c r="J48" s="1"/>
      <c r="K48" s="1"/>
      <c r="L48" s="50"/>
      <c r="M48" s="50"/>
      <c r="N48" s="50"/>
      <c r="O48" s="50"/>
      <c r="P48" s="1"/>
      <c r="Q48" s="1"/>
    </row>
    <row r="49" ht="13.5" customHeight="1">
      <c r="A49" s="1"/>
      <c r="B49" s="1"/>
      <c r="C49" s="50"/>
      <c r="D49" s="50"/>
      <c r="E49" s="50"/>
      <c r="F49" s="1"/>
      <c r="G49" s="50"/>
      <c r="H49" s="1"/>
      <c r="I49" s="1"/>
      <c r="J49" s="1"/>
      <c r="K49" s="1"/>
      <c r="L49" s="50"/>
      <c r="M49" s="50"/>
      <c r="N49" s="50"/>
      <c r="O49" s="50"/>
      <c r="P49" s="1"/>
      <c r="Q49" s="1"/>
    </row>
    <row r="50" ht="13.5" customHeight="1">
      <c r="A50" s="1"/>
      <c r="B50" s="1"/>
      <c r="C50" s="50"/>
      <c r="D50" s="50"/>
      <c r="E50" s="50"/>
      <c r="F50" s="1"/>
      <c r="G50" s="50"/>
      <c r="H50" s="1"/>
      <c r="I50" s="1"/>
      <c r="J50" s="1"/>
      <c r="K50" s="1"/>
      <c r="L50" s="50"/>
      <c r="M50" s="50"/>
      <c r="N50" s="50"/>
      <c r="O50" s="50"/>
      <c r="P50" s="1"/>
      <c r="Q50" s="1"/>
    </row>
    <row r="51" ht="13.5" customHeight="1">
      <c r="A51" s="1"/>
      <c r="B51" s="1"/>
      <c r="C51" s="50"/>
      <c r="D51" s="50"/>
      <c r="E51" s="50"/>
      <c r="F51" s="1"/>
      <c r="G51" s="50"/>
      <c r="H51" s="1"/>
      <c r="I51" s="1"/>
      <c r="J51" s="1"/>
      <c r="K51" s="1"/>
      <c r="L51" s="50"/>
      <c r="M51" s="50"/>
      <c r="N51" s="50"/>
      <c r="O51" s="50"/>
      <c r="P51" s="1"/>
      <c r="Q51" s="1"/>
    </row>
    <row r="52" ht="13.5" customHeight="1">
      <c r="A52" s="1"/>
      <c r="B52" s="1"/>
      <c r="C52" s="50"/>
      <c r="D52" s="50"/>
      <c r="E52" s="50"/>
      <c r="F52" s="1"/>
      <c r="G52" s="50"/>
      <c r="H52" s="1"/>
      <c r="I52" s="1"/>
      <c r="J52" s="1"/>
      <c r="K52" s="1"/>
      <c r="L52" s="50"/>
      <c r="M52" s="50"/>
      <c r="N52" s="50"/>
      <c r="O52" s="50"/>
      <c r="P52" s="1"/>
      <c r="Q52" s="1"/>
    </row>
    <row r="53" ht="13.5" customHeight="1">
      <c r="A53" s="1"/>
      <c r="B53" s="1"/>
      <c r="C53" s="50"/>
      <c r="D53" s="50"/>
      <c r="E53" s="50"/>
      <c r="F53" s="1"/>
      <c r="G53" s="50"/>
      <c r="H53" s="1"/>
      <c r="I53" s="1"/>
      <c r="J53" s="1"/>
      <c r="K53" s="1"/>
      <c r="L53" s="50"/>
      <c r="M53" s="50"/>
      <c r="N53" s="50"/>
      <c r="O53" s="50"/>
      <c r="P53" s="1"/>
      <c r="Q53" s="1"/>
    </row>
    <row r="54" ht="13.5" customHeight="1">
      <c r="A54" s="1"/>
      <c r="B54" s="1"/>
      <c r="C54" s="50"/>
      <c r="D54" s="50"/>
      <c r="E54" s="50"/>
      <c r="F54" s="1"/>
      <c r="G54" s="50"/>
      <c r="H54" s="1"/>
      <c r="I54" s="1"/>
      <c r="J54" s="1"/>
      <c r="K54" s="1"/>
      <c r="L54" s="50"/>
      <c r="M54" s="50"/>
      <c r="N54" s="50"/>
      <c r="O54" s="50"/>
      <c r="P54" s="1"/>
      <c r="Q54" s="1"/>
    </row>
    <row r="55" ht="13.5" customHeight="1">
      <c r="A55" s="1"/>
      <c r="B55" s="1"/>
      <c r="C55" s="50"/>
      <c r="D55" s="50"/>
      <c r="E55" s="50"/>
      <c r="F55" s="1"/>
      <c r="G55" s="50"/>
      <c r="H55" s="1"/>
      <c r="I55" s="1"/>
      <c r="J55" s="1"/>
      <c r="K55" s="1"/>
      <c r="L55" s="50"/>
      <c r="M55" s="50"/>
      <c r="N55" s="50"/>
      <c r="O55" s="50"/>
      <c r="P55" s="1"/>
      <c r="Q55" s="1"/>
    </row>
    <row r="56" ht="13.5" customHeight="1">
      <c r="A56" s="1"/>
      <c r="B56" s="1"/>
      <c r="C56" s="50"/>
      <c r="D56" s="50"/>
      <c r="E56" s="50"/>
      <c r="F56" s="1"/>
      <c r="G56" s="50"/>
      <c r="H56" s="1"/>
      <c r="I56" s="1"/>
      <c r="J56" s="1"/>
      <c r="K56" s="1"/>
      <c r="L56" s="50"/>
      <c r="M56" s="50"/>
      <c r="N56" s="50"/>
      <c r="O56" s="50"/>
      <c r="P56" s="1"/>
      <c r="Q56" s="1"/>
    </row>
    <row r="57" ht="13.5" customHeight="1">
      <c r="A57" s="1"/>
      <c r="B57" s="1"/>
      <c r="C57" s="50"/>
      <c r="D57" s="50"/>
      <c r="E57" s="50"/>
      <c r="F57" s="1"/>
      <c r="G57" s="50"/>
      <c r="H57" s="1"/>
      <c r="I57" s="1"/>
      <c r="J57" s="1"/>
      <c r="K57" s="1"/>
      <c r="L57" s="50"/>
      <c r="M57" s="50"/>
      <c r="N57" s="50"/>
      <c r="O57" s="50"/>
      <c r="P57" s="1"/>
      <c r="Q57" s="1"/>
    </row>
    <row r="58" ht="13.5" customHeight="1">
      <c r="A58" s="1"/>
      <c r="B58" s="1"/>
      <c r="C58" s="50"/>
      <c r="D58" s="50"/>
      <c r="E58" s="50"/>
      <c r="F58" s="1"/>
      <c r="G58" s="50"/>
      <c r="H58" s="1"/>
      <c r="I58" s="1"/>
      <c r="J58" s="1"/>
      <c r="K58" s="1"/>
      <c r="L58" s="50"/>
      <c r="M58" s="50"/>
      <c r="N58" s="50"/>
      <c r="O58" s="50"/>
      <c r="P58" s="1"/>
      <c r="Q58" s="1"/>
    </row>
    <row r="59" ht="13.5" customHeight="1">
      <c r="A59" s="1"/>
      <c r="B59" s="1"/>
      <c r="C59" s="50"/>
      <c r="D59" s="50"/>
      <c r="E59" s="50"/>
      <c r="F59" s="1"/>
      <c r="G59" s="50"/>
      <c r="H59" s="1"/>
      <c r="I59" s="1"/>
      <c r="J59" s="1"/>
      <c r="K59" s="1"/>
      <c r="L59" s="50"/>
      <c r="M59" s="50"/>
      <c r="N59" s="50"/>
      <c r="O59" s="50"/>
      <c r="P59" s="1"/>
      <c r="Q59" s="1"/>
    </row>
    <row r="60" ht="13.5" customHeight="1">
      <c r="A60" s="1"/>
      <c r="B60" s="1"/>
      <c r="C60" s="50"/>
      <c r="D60" s="50"/>
      <c r="E60" s="50"/>
      <c r="F60" s="1"/>
      <c r="G60" s="50"/>
      <c r="H60" s="1"/>
      <c r="I60" s="1"/>
      <c r="J60" s="1"/>
      <c r="K60" s="1"/>
      <c r="L60" s="50"/>
      <c r="M60" s="50"/>
      <c r="N60" s="50"/>
      <c r="O60" s="50"/>
      <c r="P60" s="1"/>
      <c r="Q60" s="1"/>
    </row>
    <row r="61" ht="13.5" customHeight="1">
      <c r="A61" s="1"/>
      <c r="B61" s="1"/>
      <c r="C61" s="50"/>
      <c r="D61" s="50"/>
      <c r="E61" s="50"/>
      <c r="F61" s="1"/>
      <c r="G61" s="50"/>
      <c r="H61" s="1"/>
      <c r="I61" s="1"/>
      <c r="J61" s="1"/>
      <c r="K61" s="1"/>
      <c r="L61" s="50"/>
      <c r="M61" s="50"/>
      <c r="N61" s="50"/>
      <c r="O61" s="50"/>
      <c r="P61" s="1"/>
      <c r="Q61" s="1"/>
    </row>
    <row r="62" ht="13.5" customHeight="1">
      <c r="A62" s="1"/>
      <c r="B62" s="1"/>
      <c r="C62" s="50"/>
      <c r="D62" s="50"/>
      <c r="E62" s="50"/>
      <c r="F62" s="1"/>
      <c r="G62" s="50"/>
      <c r="H62" s="1"/>
      <c r="I62" s="1"/>
      <c r="J62" s="1"/>
      <c r="K62" s="1"/>
      <c r="L62" s="50"/>
      <c r="M62" s="50"/>
      <c r="N62" s="50"/>
      <c r="O62" s="50"/>
      <c r="P62" s="1"/>
      <c r="Q62" s="1"/>
    </row>
    <row r="63" ht="13.5" customHeight="1">
      <c r="A63" s="1"/>
      <c r="B63" s="1"/>
      <c r="C63" s="50"/>
      <c r="D63" s="50"/>
      <c r="E63" s="50"/>
      <c r="F63" s="1"/>
      <c r="G63" s="50"/>
      <c r="H63" s="1"/>
      <c r="I63" s="1"/>
      <c r="J63" s="1"/>
      <c r="K63" s="1"/>
      <c r="L63" s="50"/>
      <c r="M63" s="50"/>
      <c r="N63" s="50"/>
      <c r="O63" s="50"/>
      <c r="P63" s="1"/>
      <c r="Q63" s="1"/>
    </row>
    <row r="64" ht="13.5" customHeight="1">
      <c r="A64" s="1"/>
      <c r="B64" s="1"/>
      <c r="C64" s="50"/>
      <c r="D64" s="50"/>
      <c r="E64" s="50"/>
      <c r="F64" s="1"/>
      <c r="G64" s="50"/>
      <c r="H64" s="1"/>
      <c r="I64" s="1"/>
      <c r="J64" s="1"/>
      <c r="K64" s="1"/>
      <c r="L64" s="50"/>
      <c r="M64" s="50"/>
      <c r="N64" s="50"/>
      <c r="O64" s="50"/>
      <c r="P64" s="1"/>
      <c r="Q64" s="1"/>
    </row>
    <row r="65" ht="13.5" customHeight="1">
      <c r="A65" s="1"/>
      <c r="B65" s="1"/>
      <c r="C65" s="50"/>
      <c r="D65" s="50"/>
      <c r="E65" s="50"/>
      <c r="F65" s="1"/>
      <c r="G65" s="50"/>
      <c r="H65" s="1"/>
      <c r="I65" s="1"/>
      <c r="J65" s="1"/>
      <c r="K65" s="1"/>
      <c r="L65" s="50"/>
      <c r="M65" s="50"/>
      <c r="N65" s="50"/>
      <c r="O65" s="50"/>
      <c r="P65" s="1"/>
      <c r="Q65" s="1"/>
    </row>
    <row r="66" ht="13.5" customHeight="1">
      <c r="A66" s="1"/>
      <c r="B66" s="1"/>
      <c r="C66" s="50"/>
      <c r="D66" s="50"/>
      <c r="E66" s="50"/>
      <c r="F66" s="1"/>
      <c r="G66" s="50"/>
      <c r="H66" s="1"/>
      <c r="I66" s="1"/>
      <c r="J66" s="1"/>
      <c r="K66" s="1"/>
      <c r="L66" s="50"/>
      <c r="M66" s="50"/>
      <c r="N66" s="50"/>
      <c r="O66" s="50"/>
      <c r="P66" s="1"/>
      <c r="Q66" s="1"/>
    </row>
    <row r="67" ht="13.5" customHeight="1">
      <c r="A67" s="1"/>
      <c r="B67" s="1"/>
      <c r="C67" s="50"/>
      <c r="D67" s="50"/>
      <c r="E67" s="50"/>
      <c r="F67" s="1"/>
      <c r="G67" s="50"/>
      <c r="H67" s="1"/>
      <c r="I67" s="1"/>
      <c r="J67" s="1"/>
      <c r="K67" s="1"/>
      <c r="L67" s="50"/>
      <c r="M67" s="50"/>
      <c r="N67" s="50"/>
      <c r="O67" s="50"/>
      <c r="P67" s="1"/>
      <c r="Q67" s="1"/>
    </row>
    <row r="68" ht="13.5" customHeight="1">
      <c r="A68" s="1"/>
      <c r="B68" s="1"/>
      <c r="C68" s="50"/>
      <c r="D68" s="50"/>
      <c r="E68" s="50"/>
      <c r="F68" s="1"/>
      <c r="G68" s="50"/>
      <c r="H68" s="1"/>
      <c r="I68" s="1"/>
      <c r="J68" s="1"/>
      <c r="K68" s="1"/>
      <c r="L68" s="50"/>
      <c r="M68" s="50"/>
      <c r="N68" s="50"/>
      <c r="O68" s="50"/>
      <c r="P68" s="1"/>
      <c r="Q68" s="1"/>
    </row>
    <row r="69" ht="13.5" customHeight="1">
      <c r="A69" s="1"/>
      <c r="B69" s="1"/>
      <c r="C69" s="50"/>
      <c r="D69" s="50"/>
      <c r="E69" s="50"/>
      <c r="F69" s="1"/>
      <c r="G69" s="50"/>
      <c r="H69" s="1"/>
      <c r="I69" s="1"/>
      <c r="J69" s="1"/>
      <c r="K69" s="1"/>
      <c r="L69" s="50"/>
      <c r="M69" s="50"/>
      <c r="N69" s="50"/>
      <c r="O69" s="50"/>
      <c r="P69" s="1"/>
      <c r="Q69" s="1"/>
    </row>
    <row r="70" ht="13.5" customHeight="1">
      <c r="A70" s="1"/>
      <c r="B70" s="1"/>
      <c r="C70" s="50"/>
      <c r="D70" s="50"/>
      <c r="E70" s="50"/>
      <c r="F70" s="1"/>
      <c r="G70" s="50"/>
      <c r="H70" s="1"/>
      <c r="I70" s="1"/>
      <c r="J70" s="1"/>
      <c r="K70" s="1"/>
      <c r="L70" s="50"/>
      <c r="M70" s="50"/>
      <c r="N70" s="50"/>
      <c r="O70" s="50"/>
      <c r="P70" s="1"/>
      <c r="Q70" s="1"/>
    </row>
    <row r="71" ht="13.5" customHeight="1">
      <c r="A71" s="1"/>
      <c r="B71" s="1"/>
      <c r="C71" s="50"/>
      <c r="D71" s="50"/>
      <c r="E71" s="50"/>
      <c r="F71" s="1"/>
      <c r="G71" s="50"/>
      <c r="H71" s="1"/>
      <c r="I71" s="1"/>
      <c r="J71" s="1"/>
      <c r="K71" s="1"/>
      <c r="L71" s="50"/>
      <c r="M71" s="50"/>
      <c r="N71" s="50"/>
      <c r="O71" s="50"/>
      <c r="P71" s="1"/>
      <c r="Q71" s="1"/>
    </row>
    <row r="72" ht="13.5" customHeight="1">
      <c r="A72" s="1"/>
      <c r="B72" s="1"/>
      <c r="C72" s="50"/>
      <c r="D72" s="50"/>
      <c r="E72" s="50"/>
      <c r="F72" s="1"/>
      <c r="G72" s="50"/>
      <c r="H72" s="1"/>
      <c r="I72" s="1"/>
      <c r="J72" s="1"/>
      <c r="K72" s="1"/>
      <c r="L72" s="50"/>
      <c r="M72" s="50"/>
      <c r="N72" s="50"/>
      <c r="O72" s="50"/>
      <c r="P72" s="1"/>
      <c r="Q72" s="1"/>
    </row>
    <row r="73" ht="13.5" customHeight="1">
      <c r="A73" s="1"/>
      <c r="B73" s="1"/>
      <c r="C73" s="50"/>
      <c r="D73" s="50"/>
      <c r="E73" s="50"/>
      <c r="F73" s="1"/>
      <c r="G73" s="50"/>
      <c r="H73" s="1"/>
      <c r="I73" s="1"/>
      <c r="J73" s="1"/>
      <c r="K73" s="1"/>
      <c r="L73" s="50"/>
      <c r="M73" s="50"/>
      <c r="N73" s="50"/>
      <c r="O73" s="50"/>
      <c r="P73" s="1"/>
      <c r="Q73" s="1"/>
    </row>
    <row r="74" ht="13.5" customHeight="1">
      <c r="A74" s="1"/>
      <c r="B74" s="1"/>
      <c r="C74" s="50"/>
      <c r="D74" s="50"/>
      <c r="E74" s="50"/>
      <c r="F74" s="1"/>
      <c r="G74" s="50"/>
      <c r="H74" s="1"/>
      <c r="I74" s="1"/>
      <c r="J74" s="1"/>
      <c r="K74" s="1"/>
      <c r="L74" s="50"/>
      <c r="M74" s="50"/>
      <c r="N74" s="50"/>
      <c r="O74" s="50"/>
      <c r="P74" s="1"/>
      <c r="Q74" s="1"/>
    </row>
    <row r="75" ht="13.5" customHeight="1">
      <c r="A75" s="1"/>
      <c r="B75" s="1"/>
      <c r="C75" s="50"/>
      <c r="D75" s="50"/>
      <c r="E75" s="50"/>
      <c r="F75" s="1"/>
      <c r="G75" s="50"/>
      <c r="H75" s="1"/>
      <c r="I75" s="1"/>
      <c r="J75" s="1"/>
      <c r="K75" s="1"/>
      <c r="L75" s="50"/>
      <c r="M75" s="50"/>
      <c r="N75" s="50"/>
      <c r="O75" s="50"/>
      <c r="P75" s="1"/>
      <c r="Q75" s="1"/>
    </row>
    <row r="76" ht="13.5" customHeight="1">
      <c r="A76" s="1"/>
      <c r="B76" s="1"/>
      <c r="C76" s="50"/>
      <c r="D76" s="50"/>
      <c r="E76" s="50"/>
      <c r="F76" s="1"/>
      <c r="G76" s="50"/>
      <c r="H76" s="1"/>
      <c r="I76" s="1"/>
      <c r="J76" s="1"/>
      <c r="K76" s="1"/>
      <c r="L76" s="50"/>
      <c r="M76" s="50"/>
      <c r="N76" s="50"/>
      <c r="O76" s="50"/>
      <c r="P76" s="1"/>
      <c r="Q76" s="1"/>
    </row>
    <row r="77" ht="13.5" customHeight="1">
      <c r="A77" s="1"/>
      <c r="B77" s="1"/>
      <c r="C77" s="50"/>
      <c r="D77" s="50"/>
      <c r="E77" s="50"/>
      <c r="F77" s="1"/>
      <c r="G77" s="50"/>
      <c r="H77" s="1"/>
      <c r="I77" s="1"/>
      <c r="J77" s="1"/>
      <c r="K77" s="1"/>
      <c r="L77" s="50"/>
      <c r="M77" s="50"/>
      <c r="N77" s="50"/>
      <c r="O77" s="50"/>
      <c r="P77" s="1"/>
      <c r="Q77" s="1"/>
    </row>
    <row r="78" ht="13.5" customHeight="1">
      <c r="A78" s="1"/>
      <c r="B78" s="1"/>
      <c r="C78" s="50"/>
      <c r="D78" s="50"/>
      <c r="E78" s="50"/>
      <c r="F78" s="1"/>
      <c r="G78" s="50"/>
      <c r="H78" s="1"/>
      <c r="I78" s="1"/>
      <c r="J78" s="1"/>
      <c r="K78" s="1"/>
      <c r="L78" s="50"/>
      <c r="M78" s="50"/>
      <c r="N78" s="50"/>
      <c r="O78" s="50"/>
      <c r="P78" s="1"/>
      <c r="Q78" s="1"/>
    </row>
    <row r="79" ht="13.5" customHeight="1">
      <c r="A79" s="1"/>
      <c r="B79" s="1"/>
      <c r="C79" s="50"/>
      <c r="D79" s="50"/>
      <c r="E79" s="50"/>
      <c r="F79" s="1"/>
      <c r="G79" s="50"/>
      <c r="H79" s="1"/>
      <c r="I79" s="1"/>
      <c r="J79" s="1"/>
      <c r="K79" s="1"/>
      <c r="L79" s="50"/>
      <c r="M79" s="50"/>
      <c r="N79" s="50"/>
      <c r="O79" s="50"/>
      <c r="P79" s="1"/>
      <c r="Q79" s="1"/>
    </row>
    <row r="80" ht="13.5" customHeight="1">
      <c r="A80" s="1"/>
      <c r="B80" s="1"/>
      <c r="C80" s="50"/>
      <c r="D80" s="50"/>
      <c r="E80" s="50"/>
      <c r="F80" s="1"/>
      <c r="G80" s="50"/>
      <c r="H80" s="1"/>
      <c r="I80" s="1"/>
      <c r="J80" s="1"/>
      <c r="K80" s="1"/>
      <c r="L80" s="50"/>
      <c r="M80" s="50"/>
      <c r="N80" s="50"/>
      <c r="O80" s="50"/>
      <c r="P80" s="1"/>
      <c r="Q80" s="1"/>
    </row>
    <row r="81" ht="13.5" customHeight="1">
      <c r="A81" s="1"/>
      <c r="B81" s="1"/>
      <c r="C81" s="50"/>
      <c r="D81" s="50"/>
      <c r="E81" s="50"/>
      <c r="F81" s="1"/>
      <c r="G81" s="50"/>
      <c r="H81" s="1"/>
      <c r="I81" s="1"/>
      <c r="J81" s="1"/>
      <c r="K81" s="1"/>
      <c r="L81" s="50"/>
      <c r="M81" s="50"/>
      <c r="N81" s="50"/>
      <c r="O81" s="50"/>
      <c r="P81" s="1"/>
      <c r="Q81" s="1"/>
    </row>
    <row r="82" ht="13.5" customHeight="1">
      <c r="A82" s="1"/>
      <c r="B82" s="1"/>
      <c r="C82" s="50"/>
      <c r="D82" s="50"/>
      <c r="E82" s="50"/>
      <c r="F82" s="1"/>
      <c r="G82" s="50"/>
      <c r="H82" s="1"/>
      <c r="I82" s="1"/>
      <c r="J82" s="1"/>
      <c r="K82" s="1"/>
      <c r="L82" s="50"/>
      <c r="M82" s="50"/>
      <c r="N82" s="50"/>
      <c r="O82" s="50"/>
      <c r="P82" s="1"/>
      <c r="Q82" s="1"/>
    </row>
    <row r="83" ht="13.5" customHeight="1">
      <c r="A83" s="1"/>
      <c r="B83" s="1"/>
      <c r="C83" s="50"/>
      <c r="D83" s="50"/>
      <c r="E83" s="50"/>
      <c r="F83" s="1"/>
      <c r="G83" s="50"/>
      <c r="H83" s="1"/>
      <c r="I83" s="1"/>
      <c r="J83" s="1"/>
      <c r="K83" s="1"/>
      <c r="L83" s="50"/>
      <c r="M83" s="50"/>
      <c r="N83" s="50"/>
      <c r="O83" s="50"/>
      <c r="P83" s="1"/>
      <c r="Q83" s="1"/>
    </row>
    <row r="84" ht="13.5" customHeight="1">
      <c r="A84" s="1"/>
      <c r="B84" s="1"/>
      <c r="C84" s="50"/>
      <c r="D84" s="50"/>
      <c r="E84" s="50"/>
      <c r="F84" s="1"/>
      <c r="G84" s="50"/>
      <c r="H84" s="1"/>
      <c r="I84" s="1"/>
      <c r="J84" s="1"/>
      <c r="K84" s="1"/>
      <c r="L84" s="50"/>
      <c r="M84" s="50"/>
      <c r="N84" s="50"/>
      <c r="O84" s="50"/>
      <c r="P84" s="1"/>
      <c r="Q84" s="1"/>
    </row>
    <row r="85" ht="13.5" customHeight="1">
      <c r="A85" s="1"/>
      <c r="B85" s="1"/>
      <c r="C85" s="50"/>
      <c r="D85" s="50"/>
      <c r="E85" s="50"/>
      <c r="F85" s="1"/>
      <c r="G85" s="50"/>
      <c r="H85" s="1"/>
      <c r="I85" s="1"/>
      <c r="J85" s="1"/>
      <c r="K85" s="1"/>
      <c r="L85" s="50"/>
      <c r="M85" s="50"/>
      <c r="N85" s="50"/>
      <c r="O85" s="50"/>
      <c r="P85" s="1"/>
      <c r="Q85" s="1"/>
    </row>
    <row r="86" ht="13.5" customHeight="1">
      <c r="A86" s="1"/>
      <c r="B86" s="1"/>
      <c r="C86" s="50"/>
      <c r="D86" s="50"/>
      <c r="E86" s="50"/>
      <c r="F86" s="1"/>
      <c r="G86" s="50"/>
      <c r="H86" s="1"/>
      <c r="I86" s="1"/>
      <c r="J86" s="1"/>
      <c r="K86" s="1"/>
      <c r="L86" s="50"/>
      <c r="M86" s="50"/>
      <c r="N86" s="50"/>
      <c r="O86" s="50"/>
      <c r="P86" s="1"/>
      <c r="Q86" s="1"/>
    </row>
    <row r="87" ht="13.5" customHeight="1">
      <c r="A87" s="1"/>
      <c r="B87" s="1"/>
      <c r="C87" s="50"/>
      <c r="D87" s="50"/>
      <c r="E87" s="50"/>
      <c r="F87" s="1"/>
      <c r="G87" s="50"/>
      <c r="H87" s="1"/>
      <c r="I87" s="1"/>
      <c r="J87" s="1"/>
      <c r="K87" s="1"/>
      <c r="L87" s="50"/>
      <c r="M87" s="50"/>
      <c r="N87" s="50"/>
      <c r="O87" s="50"/>
      <c r="P87" s="1"/>
      <c r="Q87" s="1"/>
    </row>
    <row r="88" ht="13.5" customHeight="1">
      <c r="A88" s="1"/>
      <c r="B88" s="1"/>
      <c r="C88" s="50"/>
      <c r="D88" s="50"/>
      <c r="E88" s="50"/>
      <c r="F88" s="1"/>
      <c r="G88" s="50"/>
      <c r="H88" s="1"/>
      <c r="I88" s="1"/>
      <c r="J88" s="1"/>
      <c r="K88" s="1"/>
      <c r="L88" s="50"/>
      <c r="M88" s="50"/>
      <c r="N88" s="50"/>
      <c r="O88" s="50"/>
      <c r="P88" s="1"/>
      <c r="Q88" s="1"/>
    </row>
    <row r="89" ht="13.5" customHeight="1">
      <c r="A89" s="1"/>
      <c r="B89" s="1"/>
      <c r="C89" s="50"/>
      <c r="D89" s="50"/>
      <c r="E89" s="50"/>
      <c r="F89" s="1"/>
      <c r="G89" s="50"/>
      <c r="H89" s="1"/>
      <c r="I89" s="1"/>
      <c r="J89" s="1"/>
      <c r="K89" s="1"/>
      <c r="L89" s="50"/>
      <c r="M89" s="50"/>
      <c r="N89" s="50"/>
      <c r="O89" s="50"/>
      <c r="P89" s="1"/>
      <c r="Q89" s="1"/>
    </row>
    <row r="90" ht="13.5" customHeight="1">
      <c r="A90" s="1"/>
      <c r="B90" s="1"/>
      <c r="C90" s="50"/>
      <c r="D90" s="50"/>
      <c r="E90" s="50"/>
      <c r="F90" s="1"/>
      <c r="G90" s="50"/>
      <c r="H90" s="1"/>
      <c r="I90" s="1"/>
      <c r="J90" s="1"/>
      <c r="K90" s="1"/>
      <c r="L90" s="50"/>
      <c r="M90" s="50"/>
      <c r="N90" s="50"/>
      <c r="O90" s="50"/>
      <c r="P90" s="1"/>
      <c r="Q90" s="1"/>
    </row>
    <row r="91" ht="13.5" customHeight="1">
      <c r="A91" s="1"/>
      <c r="B91" s="1"/>
      <c r="C91" s="50"/>
      <c r="D91" s="50"/>
      <c r="E91" s="50"/>
      <c r="F91" s="1"/>
      <c r="G91" s="50"/>
      <c r="H91" s="1"/>
      <c r="I91" s="1"/>
      <c r="J91" s="1"/>
      <c r="K91" s="1"/>
      <c r="L91" s="50"/>
      <c r="M91" s="50"/>
      <c r="N91" s="50"/>
      <c r="O91" s="50"/>
      <c r="P91" s="1"/>
      <c r="Q91" s="1"/>
    </row>
    <row r="92" ht="13.5" customHeight="1">
      <c r="A92" s="1"/>
      <c r="B92" s="1"/>
      <c r="C92" s="50"/>
      <c r="D92" s="50"/>
      <c r="E92" s="50"/>
      <c r="F92" s="1"/>
      <c r="G92" s="50"/>
      <c r="H92" s="1"/>
      <c r="I92" s="1"/>
      <c r="J92" s="1"/>
      <c r="K92" s="1"/>
      <c r="L92" s="50"/>
      <c r="M92" s="50"/>
      <c r="N92" s="50"/>
      <c r="O92" s="50"/>
      <c r="P92" s="1"/>
      <c r="Q92" s="1"/>
    </row>
    <row r="93" ht="13.5" customHeight="1">
      <c r="A93" s="1"/>
      <c r="B93" s="1"/>
      <c r="C93" s="50"/>
      <c r="D93" s="50"/>
      <c r="E93" s="50"/>
      <c r="F93" s="1"/>
      <c r="G93" s="50"/>
      <c r="H93" s="1"/>
      <c r="I93" s="1"/>
      <c r="J93" s="1"/>
      <c r="K93" s="1"/>
      <c r="L93" s="50"/>
      <c r="M93" s="50"/>
      <c r="N93" s="50"/>
      <c r="O93" s="50"/>
      <c r="P93" s="1"/>
      <c r="Q93" s="1"/>
    </row>
    <row r="94" ht="13.5" customHeight="1">
      <c r="A94" s="1"/>
      <c r="B94" s="1"/>
      <c r="C94" s="50"/>
      <c r="D94" s="50"/>
      <c r="E94" s="50"/>
      <c r="F94" s="1"/>
      <c r="G94" s="50"/>
      <c r="H94" s="1"/>
      <c r="I94" s="1"/>
      <c r="J94" s="1"/>
      <c r="K94" s="1"/>
      <c r="L94" s="50"/>
      <c r="M94" s="50"/>
      <c r="N94" s="50"/>
      <c r="O94" s="50"/>
      <c r="P94" s="1"/>
      <c r="Q94" s="1"/>
    </row>
    <row r="95" ht="13.5" customHeight="1">
      <c r="A95" s="1"/>
      <c r="B95" s="1"/>
      <c r="C95" s="50"/>
      <c r="D95" s="50"/>
      <c r="E95" s="50"/>
      <c r="F95" s="1"/>
      <c r="G95" s="50"/>
      <c r="H95" s="1"/>
      <c r="I95" s="1"/>
      <c r="J95" s="1"/>
      <c r="K95" s="1"/>
      <c r="L95" s="50"/>
      <c r="M95" s="50"/>
      <c r="N95" s="50"/>
      <c r="O95" s="50"/>
      <c r="P95" s="1"/>
      <c r="Q95" s="1"/>
    </row>
    <row r="96" ht="13.5" customHeight="1">
      <c r="A96" s="1"/>
      <c r="B96" s="1"/>
      <c r="C96" s="50"/>
      <c r="D96" s="50"/>
      <c r="E96" s="50"/>
      <c r="F96" s="1"/>
      <c r="G96" s="50"/>
      <c r="H96" s="1"/>
      <c r="I96" s="1"/>
      <c r="J96" s="1"/>
      <c r="K96" s="1"/>
      <c r="L96" s="50"/>
      <c r="M96" s="50"/>
      <c r="N96" s="50"/>
      <c r="O96" s="50"/>
      <c r="P96" s="1"/>
      <c r="Q96" s="1"/>
    </row>
    <row r="97" ht="13.5" customHeight="1">
      <c r="A97" s="1"/>
      <c r="B97" s="1"/>
      <c r="C97" s="50"/>
      <c r="D97" s="50"/>
      <c r="E97" s="50"/>
      <c r="F97" s="1"/>
      <c r="G97" s="50"/>
      <c r="H97" s="1"/>
      <c r="I97" s="1"/>
      <c r="J97" s="1"/>
      <c r="K97" s="1"/>
      <c r="L97" s="50"/>
      <c r="M97" s="50"/>
      <c r="N97" s="50"/>
      <c r="O97" s="50"/>
      <c r="P97" s="1"/>
      <c r="Q97" s="1"/>
    </row>
    <row r="98" ht="13.5" customHeight="1">
      <c r="A98" s="1"/>
      <c r="B98" s="1"/>
      <c r="C98" s="50"/>
      <c r="D98" s="50"/>
      <c r="E98" s="50"/>
      <c r="F98" s="1"/>
      <c r="G98" s="50"/>
      <c r="H98" s="1"/>
      <c r="I98" s="1"/>
      <c r="J98" s="1"/>
      <c r="K98" s="1"/>
      <c r="L98" s="50"/>
      <c r="M98" s="50"/>
      <c r="N98" s="50"/>
      <c r="O98" s="50"/>
      <c r="P98" s="1"/>
      <c r="Q98" s="1"/>
    </row>
    <row r="99" ht="13.5" customHeight="1">
      <c r="A99" s="1"/>
      <c r="B99" s="1"/>
      <c r="C99" s="50"/>
      <c r="D99" s="50"/>
      <c r="E99" s="50"/>
      <c r="F99" s="1"/>
      <c r="G99" s="50"/>
      <c r="H99" s="1"/>
      <c r="I99" s="1"/>
      <c r="J99" s="1"/>
      <c r="K99" s="1"/>
      <c r="L99" s="50"/>
      <c r="M99" s="50"/>
      <c r="N99" s="50"/>
      <c r="O99" s="50"/>
      <c r="P99" s="1"/>
      <c r="Q99" s="1"/>
    </row>
    <row r="100" ht="13.5" customHeight="1">
      <c r="A100" s="1"/>
      <c r="B100" s="1"/>
      <c r="C100" s="50"/>
      <c r="D100" s="50"/>
      <c r="E100" s="50"/>
      <c r="F100" s="1"/>
      <c r="G100" s="50"/>
      <c r="H100" s="1"/>
      <c r="I100" s="1"/>
      <c r="J100" s="1"/>
      <c r="K100" s="1"/>
      <c r="L100" s="50"/>
      <c r="M100" s="50"/>
      <c r="N100" s="50"/>
      <c r="O100" s="50"/>
      <c r="P100" s="1"/>
      <c r="Q100" s="1"/>
    </row>
  </sheetData>
  <mergeCells count="8">
    <mergeCell ref="K14:K24"/>
    <mergeCell ref="A2:A15"/>
    <mergeCell ref="A20:A27"/>
    <mergeCell ref="A28:A39"/>
    <mergeCell ref="K2:K12"/>
    <mergeCell ref="F2:F9"/>
    <mergeCell ref="F14:F21"/>
    <mergeCell ref="F26:F37"/>
  </mergeCells>
  <printOptions/>
  <pageMargins bottom="0.75" footer="0.0" header="0.0" left="0.7" right="0.7" top="0.75"/>
  <pageSetup orientation="landscape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[NV[g</vt:lpstr>
      </vt:variant>
      <vt:variant>
        <vt:i4>4</vt:i4>
      </vt:variant>
    </vt:vector>
  </HeadingPairs>
  <TitlesOfParts>
    <vt:vector baseType="lpstr" size="4">
      <vt:lpstr>åÆo\</vt:lpstr>
      <vt:lpstr>èáïEÏõï</vt:lpstr>
      <vt:lpstr>ï</vt:lpstr>
      <vt:lpstr>oÂlÊ\</vt:lpstr>
    </vt:vector>
  </TitlesOfParts>
  <LinksUpToDate>false</LinksUpToDate>
  <SharedDoc>false</SharedDoc>
  <HyperlinksChanged>false</HyperlinksChanged>
  <Application>Microsoft Excel</Application>
  <AppVersion>15.0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2007-01-12T03:25:44Z</dcterms:created>
  <dc:creator>PC-User</dc:creator>
  <cp:lastModifiedBy>user</cp:lastModifiedBy>
  <cp:lastPrinted>2025-10-25T02:38:29Z</cp:lastPrinted>
  <dcterms:modified xsi:type="dcterms:W3CDTF">2026-05-07T01:26:18Z</dcterms:modified>
</cp:coreProperties>
</file>