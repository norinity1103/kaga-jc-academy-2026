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showInkAnnotation="0" autoCompressPictures="0"/>
  <xr:revisionPtr revIDLastSave="0" documentId="13_ncr:1_{0DFF800A-A529-41BE-905D-5F2DC7C30003}" xr6:coauthVersionLast="47" xr6:coauthVersionMax="47" xr10:uidLastSave="{00000000-0000-0000-0000-000000000000}"/>
  <bookViews>
    <workbookView xWindow="-108" yWindow="-108" windowWidth="23256" windowHeight="12456" tabRatio="855" xr2:uid="{00000000-000D-0000-FFFF-FFFF00000000}"/>
  </bookViews>
  <sheets>
    <sheet name="注意事項" sheetId="74" r:id="rId1"/>
    <sheet name="収支予算書(様式2)" sheetId="16" r:id="rId2"/>
    <sheet name="収益・費用明細書(様式3)" sheetId="17" r:id="rId3"/>
    <sheet name="見積企業一覧表(様式4)" sheetId="19" r:id="rId4"/>
  </sheets>
  <definedNames>
    <definedName name="_xlnm.Print_Area" localSheetId="3">'見積企業一覧表(様式4)'!$A$1:$F$36</definedName>
    <definedName name="_xlnm.Print_Area" localSheetId="2">'収益・費用明細書(様式3)'!$A$1:$H$34</definedName>
    <definedName name="_xlnm.Print_Area" localSheetId="0">注意事項!$A$1:$D$98</definedName>
    <definedName name="会場設営費">注意事項!$B$26:$B$31</definedName>
    <definedName name="企画・演出費">注意事項!$B$32:$B$37</definedName>
    <definedName name="広報費">#REF!</definedName>
    <definedName name="講師関係費">注意事項!$B$49:$B$54</definedName>
    <definedName name="雑費">#REF!</definedName>
    <definedName name="参加記念品費">#REF!</definedName>
    <definedName name="資料作成費">注意事項!#REF!</definedName>
    <definedName name="渉外費">#REF!</definedName>
    <definedName name="通信費">#REF!</definedName>
    <definedName name="保険料">#REF!</definedName>
    <definedName name="報告書作成費">#REF!</definedName>
    <definedName name="本部団関係費">注意事項!$B$38:$B$48</definedName>
    <definedName name="予備費">#REF!</definedName>
    <definedName name="旅費交通費">注意事項!$B$74:$B$76</definedName>
  </definedNames>
  <calcPr calcId="191029"/>
</workbook>
</file>

<file path=xl/calcChain.xml><?xml version="1.0" encoding="utf-8"?>
<calcChain xmlns="http://schemas.openxmlformats.org/spreadsheetml/2006/main">
  <c r="A27" i="19" l="1"/>
  <c r="A6" i="19"/>
  <c r="D32" i="17"/>
  <c r="D33" i="17" s="1"/>
  <c r="D28" i="17"/>
  <c r="D31" i="17" s="1"/>
  <c r="D24" i="17"/>
  <c r="D26" i="17" s="1"/>
  <c r="D20" i="17"/>
  <c r="D21" i="17" s="1"/>
  <c r="D16" i="17"/>
  <c r="D19" i="17" s="1"/>
  <c r="D9" i="17"/>
  <c r="D8" i="17"/>
  <c r="D7" i="17"/>
  <c r="D6" i="17"/>
  <c r="E33" i="16"/>
  <c r="G31" i="17"/>
  <c r="G23" i="17"/>
  <c r="G10" i="17"/>
  <c r="G19" i="17"/>
  <c r="E32" i="16"/>
  <c r="D32" i="16"/>
  <c r="D16" i="16"/>
  <c r="D33" i="16" s="1"/>
  <c r="G27" i="17"/>
  <c r="E35" i="19"/>
  <c r="G33" i="17"/>
  <c r="C13" i="16" l="1"/>
  <c r="G34" i="17"/>
  <c r="F32" i="17" s="1"/>
  <c r="C8" i="16"/>
  <c r="C11" i="16"/>
  <c r="C15" i="16"/>
  <c r="C9" i="16"/>
  <c r="C14" i="16"/>
  <c r="C10" i="16"/>
  <c r="C12" i="16"/>
  <c r="D22" i="17"/>
  <c r="D23" i="17"/>
  <c r="D30" i="17"/>
  <c r="D19" i="19"/>
  <c r="D29" i="17"/>
  <c r="D17" i="17"/>
  <c r="D18" i="17"/>
  <c r="D25" i="17"/>
  <c r="D27" i="17"/>
  <c r="C20" i="16" l="1" a="1"/>
  <c r="C20" i="16" s="1"/>
  <c r="C27" i="16" a="1"/>
  <c r="C27" i="16" s="1"/>
  <c r="C21" i="16" a="1"/>
  <c r="C21" i="16" s="1"/>
  <c r="C30" i="16" a="1"/>
  <c r="C30" i="16" s="1"/>
  <c r="C26" i="16" a="1"/>
  <c r="C26" i="16" s="1"/>
  <c r="C24" i="16" a="1"/>
  <c r="C24" i="16" s="1"/>
  <c r="C22" i="16" a="1"/>
  <c r="C22" i="16" s="1"/>
  <c r="C29" i="16" a="1"/>
  <c r="C29" i="16" s="1"/>
  <c r="C18" i="16" a="1"/>
  <c r="C18" i="16" s="1"/>
  <c r="C23" i="16" a="1"/>
  <c r="C23" i="16" s="1"/>
  <c r="C28" i="16" a="1"/>
  <c r="C28" i="16" s="1"/>
  <c r="C19" i="16" a="1"/>
  <c r="C19" i="16" s="1"/>
  <c r="C25" i="16" a="1"/>
  <c r="C25" i="16" s="1"/>
  <c r="C31" i="16" a="1"/>
  <c r="C31" i="16" s="1"/>
  <c r="C16" i="16"/>
  <c r="C32" i="16" l="1"/>
  <c r="F31" i="16" s="1"/>
  <c r="C33"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 authorId="0" shapeId="0" xr:uid="{00000000-0006-0000-0300-000001000000}">
      <text>
        <r>
          <rPr>
            <b/>
            <sz val="14"/>
            <color indexed="81"/>
            <rFont val="MS P ゴシック"/>
            <family val="3"/>
            <charset val="128"/>
          </rPr>
          <t xml:space="preserve">様式3から数値が入る様に関数が組まれています。
</t>
        </r>
        <r>
          <rPr>
            <b/>
            <sz val="9"/>
            <color indexed="81"/>
            <rFont val="MS P ゴシック"/>
            <family val="3"/>
            <charset val="128"/>
          </rPr>
          <t>極力直入力はせず間違いがないかの確認をするようにしてください</t>
        </r>
      </text>
    </comment>
    <comment ref="B4" authorId="0" shapeId="0" xr:uid="{00000000-0006-0000-0300-000002000000}">
      <text>
        <r>
          <rPr>
            <b/>
            <sz val="9"/>
            <color indexed="81"/>
            <rFont val="MS P ゴシック"/>
            <family val="3"/>
            <charset val="128"/>
          </rPr>
          <t>上程議案名称を忘れずに記入して下さい</t>
        </r>
      </text>
    </comment>
    <comment ref="D6" authorId="0" shapeId="0" xr:uid="{00000000-0006-0000-0300-000003000000}">
      <text>
        <r>
          <rPr>
            <b/>
            <sz val="9"/>
            <color indexed="81"/>
            <rFont val="MS P ゴシック"/>
            <family val="3"/>
            <charset val="128"/>
          </rPr>
          <t>継続事業は必ず、前年度予算額、決算額を記入して下さい。それにより、前年度の増減科目の中身を要チェック、その必要性と効果をチェック
縦横計は必ずチェック</t>
        </r>
      </text>
    </comment>
    <comment ref="F8" authorId="0" shapeId="0" xr:uid="{00000000-0006-0000-0300-000004000000}">
      <text>
        <r>
          <rPr>
            <b/>
            <sz val="9"/>
            <color indexed="81"/>
            <rFont val="MS P ゴシック"/>
            <family val="3"/>
            <charset val="128"/>
          </rPr>
          <t>登録料収益がある場合は、人数×単価を記入して下さい。</t>
        </r>
      </text>
    </comment>
    <comment ref="F9" authorId="0" shapeId="0" xr:uid="{00000000-0006-0000-0300-000005000000}">
      <text>
        <r>
          <rPr>
            <b/>
            <sz val="9"/>
            <color indexed="81"/>
            <rFont val="MS P ゴシック"/>
            <family val="3"/>
            <charset val="128"/>
          </rPr>
          <t>収益の部2～6
収入先を明記して下さい。</t>
        </r>
      </text>
    </comment>
    <comment ref="C30" authorId="0" shapeId="0" xr:uid="{00000000-0006-0000-0300-000007000000}">
      <text>
        <r>
          <rPr>
            <b/>
            <sz val="9"/>
            <color indexed="81"/>
            <rFont val="MS P ゴシック"/>
            <family val="3"/>
            <charset val="128"/>
          </rPr>
          <t>雑費の振込手数料については各金融機関のホームページを参照下さい</t>
        </r>
      </text>
    </comment>
    <comment ref="F31" authorId="0" shapeId="0" xr:uid="{00000000-0006-0000-0300-000008000000}">
      <text>
        <r>
          <rPr>
            <b/>
            <sz val="9"/>
            <color indexed="81"/>
            <rFont val="MS P ゴシック"/>
            <family val="3"/>
            <charset val="128"/>
          </rPr>
          <t>予備費の%を記載して下さい
（小数点第二位まで）
（小数点第3位以下は切り捨ててください）
また、事業予算の3%以内として下さい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400-000001000000}">
      <text>
        <r>
          <rPr>
            <b/>
            <sz val="9"/>
            <color indexed="81"/>
            <rFont val="MS P ゴシック"/>
            <family val="3"/>
            <charset val="128"/>
          </rPr>
          <t>・該当する収入・支出科目のみ使用し、空欄（段落含む）を作らず、行削除してください
・金額には3桁ごとのカンマ（,）が打たれていることを確認して下さい
・消費税込みで記載して下さい
・摘要欄は詳細に記入して下さい</t>
        </r>
      </text>
    </comment>
    <comment ref="B2" authorId="0" shapeId="0" xr:uid="{00000000-0006-0000-0400-000002000000}">
      <text>
        <r>
          <rPr>
            <b/>
            <sz val="9"/>
            <color indexed="81"/>
            <rFont val="MS P ゴシック"/>
            <family val="3"/>
            <charset val="128"/>
          </rPr>
          <t>上程議案の事業名称を記入して下さい</t>
        </r>
      </text>
    </comment>
    <comment ref="H5" authorId="0" shapeId="0" xr:uid="{00000000-0006-0000-0400-000003000000}">
      <text>
        <r>
          <rPr>
            <b/>
            <sz val="9"/>
            <color indexed="81"/>
            <rFont val="MS P ゴシック"/>
            <family val="3"/>
            <charset val="128"/>
          </rPr>
          <t>上程する各会議・委員会が独自に連番した見積No.を記入し、見積書のPDFデータのリンクを貼って下さい</t>
        </r>
      </text>
    </comment>
    <comment ref="E6" authorId="0" shapeId="0" xr:uid="{00000000-0006-0000-0400-000004000000}">
      <text>
        <r>
          <rPr>
            <b/>
            <sz val="9"/>
            <color indexed="81"/>
            <rFont val="MS P ゴシック"/>
            <family val="3"/>
            <charset val="128"/>
          </rPr>
          <t>登録料収益がある場合には単価×人数を記載して下さい</t>
        </r>
      </text>
    </comment>
    <comment ref="B16" authorId="0" shapeId="0" xr:uid="{00000000-0006-0000-0400-000005000000}">
      <text>
        <r>
          <rPr>
            <b/>
            <sz val="9"/>
            <color indexed="81"/>
            <rFont val="MS P ゴシック"/>
            <family val="3"/>
            <charset val="128"/>
          </rPr>
          <t>様式2の項目に番号を合わせて下さい
不使用の行は削除してください</t>
        </r>
      </text>
    </comment>
    <comment ref="D16" authorId="0" shapeId="0" xr:uid="{00000000-0006-0000-0400-000006000000}">
      <text>
        <r>
          <rPr>
            <b/>
            <sz val="9"/>
            <color indexed="81"/>
            <rFont val="MS P ゴシック"/>
            <family val="3"/>
            <charset val="128"/>
          </rPr>
          <t>勘定科目一覧を参照し、勘定科目・細目を記載して下さい</t>
        </r>
      </text>
    </comment>
    <comment ref="F16" authorId="0" shapeId="0" xr:uid="{00000000-0006-0000-0400-000007000000}">
      <text>
        <r>
          <rPr>
            <b/>
            <sz val="9"/>
            <color indexed="81"/>
            <rFont val="MS P ゴシック"/>
            <family val="3"/>
            <charset val="128"/>
          </rPr>
          <t>摘要欄には、単価・仕様・個数などを詳しく記載して下さい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500-000002000000}">
      <text>
        <r>
          <rPr>
            <b/>
            <sz val="9"/>
            <color indexed="81"/>
            <rFont val="MS P ゴシック"/>
            <family val="3"/>
            <charset val="128"/>
          </rPr>
          <t>上程議案の事業名称を記入して下さい</t>
        </r>
      </text>
    </comment>
    <comment ref="A6" authorId="0" shapeId="0" xr:uid="{00000000-0006-0000-0500-000003000000}">
      <text>
        <r>
          <rPr>
            <b/>
            <sz val="9"/>
            <color indexed="81"/>
            <rFont val="MS P ゴシック"/>
            <family val="3"/>
            <charset val="128"/>
          </rPr>
          <t xml:space="preserve">・連番は一事業における全ての様式において共通の番号を使用して下さい
・見積書のPDFデータをリンクして下さい
</t>
        </r>
      </text>
    </comment>
    <comment ref="E6" authorId="0" shapeId="0" xr:uid="{00000000-0006-0000-0500-000004000000}">
      <text>
        <r>
          <rPr>
            <b/>
            <sz val="9"/>
            <color indexed="81"/>
            <rFont val="MS P ゴシック"/>
            <family val="3"/>
            <charset val="128"/>
          </rPr>
          <t>年度末12月31日まで有効となっている、または事業終了後2ヶ月以上の期限になっているか</t>
        </r>
      </text>
    </comment>
    <comment ref="C7" authorId="0" shapeId="0" xr:uid="{00000000-0006-0000-0500-000007000000}">
      <text>
        <r>
          <rPr>
            <b/>
            <sz val="9"/>
            <color indexed="81"/>
            <rFont val="MS P ゴシック"/>
            <family val="3"/>
            <charset val="128"/>
          </rPr>
          <t xml:space="preserve">【例】チラシ作成(○○○○費・○○)
　　　講師謝礼(●●←(講師名))(講師関係費・○○)
</t>
        </r>
      </text>
    </comment>
    <comment ref="A24" authorId="0" shapeId="0" xr:uid="{00000000-0006-0000-0500-000008000000}">
      <text>
        <r>
          <rPr>
            <b/>
            <sz val="16"/>
            <color indexed="81"/>
            <rFont val="MS P ゴシック"/>
            <family val="3"/>
            <charset val="128"/>
          </rPr>
          <t>必ず確認すること</t>
        </r>
      </text>
    </comment>
    <comment ref="A27" authorId="0" shapeId="0" xr:uid="{00000000-0006-0000-0500-000009000000}">
      <text>
        <r>
          <rPr>
            <b/>
            <sz val="9"/>
            <color indexed="81"/>
            <rFont val="MS P ゴシック"/>
            <family val="3"/>
            <charset val="128"/>
          </rPr>
          <t>1.上記番号と同じ番号を記入する
2.予算議案では見積書の写しを添付する</t>
        </r>
      </text>
    </comment>
    <comment ref="E27" authorId="0" shapeId="0" xr:uid="{00000000-0006-0000-0500-00000A000000}">
      <text>
        <r>
          <rPr>
            <b/>
            <sz val="9"/>
            <color indexed="81"/>
            <rFont val="MS P ゴシック"/>
            <family val="3"/>
            <charset val="128"/>
          </rPr>
          <t>各金融機関のホームページを参考に記載すること</t>
        </r>
      </text>
    </comment>
    <comment ref="B28" authorId="0" shapeId="0" xr:uid="{00000000-0006-0000-0500-00000B000000}">
      <text>
        <r>
          <rPr>
            <b/>
            <sz val="9"/>
            <color indexed="81"/>
            <rFont val="MS P ゴシック"/>
            <family val="3"/>
            <charset val="128"/>
          </rPr>
          <t>実際に振込をする名義を記載してください
ほとんどの場合カタカナになります</t>
        </r>
      </text>
    </comment>
  </commentList>
</comments>
</file>

<file path=xl/sharedStrings.xml><?xml version="1.0" encoding="utf-8"?>
<sst xmlns="http://schemas.openxmlformats.org/spreadsheetml/2006/main" count="355" uniqueCount="245">
  <si>
    <t>項　　　　目</t>
    <rPh sb="0" eb="6">
      <t>コウモク</t>
    </rPh>
    <phoneticPr fontId="3"/>
  </si>
  <si>
    <t>予　算　額</t>
    <rPh sb="0" eb="5">
      <t>ヨサンガク</t>
    </rPh>
    <phoneticPr fontId="3"/>
  </si>
  <si>
    <t>前年度予算額</t>
    <rPh sb="0" eb="3">
      <t>ゼンネンド</t>
    </rPh>
    <rPh sb="3" eb="6">
      <t>ヨサンガク</t>
    </rPh>
    <phoneticPr fontId="3"/>
  </si>
  <si>
    <t>前年度決算額</t>
    <rPh sb="0" eb="3">
      <t>ゼンネンド</t>
    </rPh>
    <rPh sb="3" eb="6">
      <t>ケッサンガク</t>
    </rPh>
    <phoneticPr fontId="3"/>
  </si>
  <si>
    <t>摘　　要</t>
    <rPh sb="0" eb="4">
      <t>テキヨウ</t>
    </rPh>
    <phoneticPr fontId="3"/>
  </si>
  <si>
    <t>会場設営費</t>
    <rPh sb="0" eb="2">
      <t>カイジョウ</t>
    </rPh>
    <rPh sb="2" eb="5">
      <t>セツエイヒ</t>
    </rPh>
    <phoneticPr fontId="3"/>
  </si>
  <si>
    <t>本部団関係費</t>
    <rPh sb="0" eb="2">
      <t>ホンブ</t>
    </rPh>
    <rPh sb="2" eb="3">
      <t>ダン</t>
    </rPh>
    <rPh sb="3" eb="6">
      <t>カンケイヒ</t>
    </rPh>
    <phoneticPr fontId="3"/>
  </si>
  <si>
    <t>講師関係費</t>
    <rPh sb="0" eb="2">
      <t>コウシ</t>
    </rPh>
    <rPh sb="2" eb="5">
      <t>カンケイヒ</t>
    </rPh>
    <phoneticPr fontId="3"/>
  </si>
  <si>
    <t>広報費</t>
    <rPh sb="0" eb="3">
      <t>コウホウヒ</t>
    </rPh>
    <phoneticPr fontId="3"/>
  </si>
  <si>
    <t>資料作成費</t>
    <rPh sb="0" eb="2">
      <t>シリョウ</t>
    </rPh>
    <rPh sb="2" eb="5">
      <t>サクセイヒ</t>
    </rPh>
    <phoneticPr fontId="3"/>
  </si>
  <si>
    <t>報告書作成費</t>
    <rPh sb="0" eb="3">
      <t>ホウコクショ</t>
    </rPh>
    <rPh sb="3" eb="6">
      <t>サクセイヒ</t>
    </rPh>
    <phoneticPr fontId="3"/>
  </si>
  <si>
    <t>渉外費</t>
    <rPh sb="0" eb="2">
      <t>ショウガイ</t>
    </rPh>
    <rPh sb="2" eb="3">
      <t>ヒ</t>
    </rPh>
    <phoneticPr fontId="3"/>
  </si>
  <si>
    <t>旅費交通費</t>
    <rPh sb="0" eb="2">
      <t>リョヒ</t>
    </rPh>
    <rPh sb="2" eb="5">
      <t>コウツウヒ</t>
    </rPh>
    <phoneticPr fontId="3"/>
  </si>
  <si>
    <t>参加記念品費</t>
    <rPh sb="0" eb="2">
      <t>サンカ</t>
    </rPh>
    <rPh sb="2" eb="5">
      <t>キネンヒン</t>
    </rPh>
    <rPh sb="5" eb="6">
      <t>ヒ</t>
    </rPh>
    <phoneticPr fontId="3"/>
  </si>
  <si>
    <t>保険料</t>
    <rPh sb="0" eb="3">
      <t>ホケンリョウ</t>
    </rPh>
    <phoneticPr fontId="3"/>
  </si>
  <si>
    <t>通信費</t>
    <rPh sb="0" eb="3">
      <t>ツウシンヒ</t>
    </rPh>
    <phoneticPr fontId="3"/>
  </si>
  <si>
    <t>雑費</t>
    <rPh sb="0" eb="2">
      <t>ザッピ</t>
    </rPh>
    <phoneticPr fontId="3"/>
  </si>
  <si>
    <t>予備費</t>
    <rPh sb="0" eb="3">
      <t>ヨビヒ</t>
    </rPh>
    <phoneticPr fontId="3"/>
  </si>
  <si>
    <t>支出計</t>
    <rPh sb="0" eb="2">
      <t>シシュツ</t>
    </rPh>
    <rPh sb="2" eb="3">
      <t>ケイ</t>
    </rPh>
    <phoneticPr fontId="3"/>
  </si>
  <si>
    <t>収支差額</t>
    <rPh sb="0" eb="2">
      <t>シュウシ</t>
    </rPh>
    <rPh sb="2" eb="4">
      <t>サガク</t>
    </rPh>
    <phoneticPr fontId="3"/>
  </si>
  <si>
    <t>（単位：円）</t>
    <rPh sb="1" eb="3">
      <t>タンイ</t>
    </rPh>
    <rPh sb="4" eb="5">
      <t>エン</t>
    </rPh>
    <phoneticPr fontId="3"/>
  </si>
  <si>
    <t>科　　　　　目</t>
    <rPh sb="0" eb="7">
      <t>カモク</t>
    </rPh>
    <phoneticPr fontId="3"/>
  </si>
  <si>
    <t>摘　　　　　　　　　要</t>
    <rPh sb="0" eb="11">
      <t>テキヨウ</t>
    </rPh>
    <phoneticPr fontId="3"/>
  </si>
  <si>
    <t>金　　　額</t>
    <rPh sb="0" eb="1">
      <t>キン</t>
    </rPh>
    <rPh sb="4" eb="5">
      <t>ガク</t>
    </rPh>
    <phoneticPr fontId="3"/>
  </si>
  <si>
    <t>(</t>
  </si>
  <si>
    <t>　　　　　　　　　　　　　　　　　　　　　　合　　　　　　　計</t>
    <rPh sb="22" eb="23">
      <t>ゴウ</t>
    </rPh>
    <rPh sb="30" eb="31">
      <t>ゴウケイ</t>
    </rPh>
    <phoneticPr fontId="3"/>
  </si>
  <si>
    <t>細　　　目</t>
    <rPh sb="0" eb="5">
      <t>サイモク</t>
    </rPh>
    <phoneticPr fontId="3"/>
  </si>
  <si>
    <t>摘　　　　要</t>
    <rPh sb="0" eb="1">
      <t>テキ</t>
    </rPh>
    <rPh sb="5" eb="6">
      <t>テキヨウ</t>
    </rPh>
    <phoneticPr fontId="3"/>
  </si>
  <si>
    <t>　小　　　　計</t>
    <rPh sb="1" eb="7">
      <t>ショウケイ</t>
    </rPh>
    <phoneticPr fontId="3"/>
  </si>
  <si>
    <t>　小　　　　計</t>
    <rPh sb="1" eb="2">
      <t>ショウ</t>
    </rPh>
    <rPh sb="6" eb="7">
      <t>ショウケイ</t>
    </rPh>
    <phoneticPr fontId="3"/>
  </si>
  <si>
    <t>　合　　　　計</t>
    <rPh sb="1" eb="2">
      <t>ゴウ</t>
    </rPh>
    <rPh sb="6" eb="7">
      <t>ショウケイ</t>
    </rPh>
    <phoneticPr fontId="3"/>
  </si>
  <si>
    <t>企　業　名</t>
  </si>
  <si>
    <t>金  額</t>
  </si>
  <si>
    <t>合計金額</t>
    <rPh sb="2" eb="4">
      <t>キンガク</t>
    </rPh>
    <phoneticPr fontId="3"/>
  </si>
  <si>
    <t>振込口座名義</t>
    <rPh sb="0" eb="6">
      <t>フリコミコウザメイギ</t>
    </rPh>
    <phoneticPr fontId="3"/>
  </si>
  <si>
    <t>支払銀行・支店名</t>
    <rPh sb="0" eb="2">
      <t>シハライ</t>
    </rPh>
    <rPh sb="2" eb="4">
      <t>ギンコウ</t>
    </rPh>
    <phoneticPr fontId="3"/>
  </si>
  <si>
    <t>振込手数料</t>
    <rPh sb="0" eb="2">
      <t>フリコミ</t>
    </rPh>
    <rPh sb="2" eb="5">
      <t>テスウリョウ</t>
    </rPh>
    <phoneticPr fontId="3"/>
  </si>
  <si>
    <t>（普・当）</t>
  </si>
  <si>
    <t>合計金額</t>
    <rPh sb="0" eb="4">
      <t>ゴウケイキンガク</t>
    </rPh>
    <phoneticPr fontId="3"/>
  </si>
  <si>
    <t>様式2</t>
    <rPh sb="0" eb="2">
      <t>ヨウシキ</t>
    </rPh>
    <phoneticPr fontId="3"/>
  </si>
  <si>
    <t>（収　益　の　部）</t>
    <rPh sb="1" eb="2">
      <t>オサム</t>
    </rPh>
    <rPh sb="3" eb="4">
      <t>エキ</t>
    </rPh>
    <rPh sb="7" eb="8">
      <t>ブ</t>
    </rPh>
    <phoneticPr fontId="3"/>
  </si>
  <si>
    <t>（費用の部）</t>
    <rPh sb="1" eb="3">
      <t>ヒヨウ</t>
    </rPh>
    <rPh sb="4" eb="5">
      <t>ブ</t>
    </rPh>
    <phoneticPr fontId="3"/>
  </si>
  <si>
    <t>登 録 料 収 益</t>
    <rPh sb="0" eb="5">
      <t>トウロクリョウ</t>
    </rPh>
    <rPh sb="6" eb="7">
      <t>オサム</t>
    </rPh>
    <rPh sb="8" eb="9">
      <t>エキ</t>
    </rPh>
    <phoneticPr fontId="3"/>
  </si>
  <si>
    <t>補 助 金</t>
    <rPh sb="0" eb="5">
      <t>ホジョキン</t>
    </rPh>
    <phoneticPr fontId="3"/>
  </si>
  <si>
    <t>寄 付 金 収 益</t>
    <rPh sb="0" eb="5">
      <t>キフキン</t>
    </rPh>
    <rPh sb="6" eb="7">
      <t>オサム</t>
    </rPh>
    <rPh sb="8" eb="9">
      <t>エキ</t>
    </rPh>
    <phoneticPr fontId="3"/>
  </si>
  <si>
    <t>助 成 金</t>
    <rPh sb="0" eb="5">
      <t>ジョセイキン</t>
    </rPh>
    <phoneticPr fontId="3"/>
  </si>
  <si>
    <t>広 告 料 収 益</t>
    <rPh sb="0" eb="5">
      <t>コウコクリョウ</t>
    </rPh>
    <rPh sb="6" eb="7">
      <t>オサム</t>
    </rPh>
    <rPh sb="8" eb="9">
      <t>エキ</t>
    </rPh>
    <phoneticPr fontId="3"/>
  </si>
  <si>
    <t>販　売　収　益</t>
    <rPh sb="0" eb="3">
      <t>ハンバイ</t>
    </rPh>
    <rPh sb="4" eb="5">
      <t>オサム</t>
    </rPh>
    <rPh sb="6" eb="7">
      <t>エキ</t>
    </rPh>
    <phoneticPr fontId="3"/>
  </si>
  <si>
    <t>雑　　収　　益</t>
    <rPh sb="0" eb="1">
      <t>ザツ</t>
    </rPh>
    <rPh sb="3" eb="4">
      <t>オサム</t>
    </rPh>
    <rPh sb="6" eb="7">
      <t>エキ</t>
    </rPh>
    <phoneticPr fontId="3"/>
  </si>
  <si>
    <t>（　収　益　明　細　書　）</t>
    <rPh sb="2" eb="3">
      <t>オサム</t>
    </rPh>
    <rPh sb="4" eb="5">
      <t>エキ</t>
    </rPh>
    <rPh sb="6" eb="11">
      <t>メイサイショ</t>
    </rPh>
    <phoneticPr fontId="3"/>
  </si>
  <si>
    <t>（　費　用　明　細　書　）</t>
    <rPh sb="2" eb="3">
      <t>ヒ</t>
    </rPh>
    <rPh sb="4" eb="5">
      <t>ヨウ</t>
    </rPh>
    <rPh sb="6" eb="11">
      <t>メイサイショ</t>
    </rPh>
    <phoneticPr fontId="3"/>
  </si>
  <si>
    <t>事　業　繰　入　金</t>
    <rPh sb="0" eb="3">
      <t>ジギョウ</t>
    </rPh>
    <rPh sb="4" eb="5">
      <t>クリ</t>
    </rPh>
    <rPh sb="6" eb="7">
      <t>ニュウ</t>
    </rPh>
    <rPh sb="8" eb="9">
      <t>キン</t>
    </rPh>
    <phoneticPr fontId="3"/>
  </si>
  <si>
    <t>収益計</t>
    <rPh sb="0" eb="2">
      <t>シュウエキ</t>
    </rPh>
    <rPh sb="2" eb="3">
      <t>ケイ</t>
    </rPh>
    <phoneticPr fontId="3"/>
  </si>
  <si>
    <t>収益費用明細書</t>
    <rPh sb="1" eb="2">
      <t>エキ</t>
    </rPh>
    <rPh sb="2" eb="4">
      <t>ヒヨウ</t>
    </rPh>
    <phoneticPr fontId="3"/>
  </si>
  <si>
    <t>様式1</t>
    <rPh sb="0" eb="2">
      <t>ヨウシキ</t>
    </rPh>
    <phoneticPr fontId="3"/>
  </si>
  <si>
    <t>様式3</t>
    <rPh sb="0" eb="2">
      <t>ヨウシキ</t>
    </rPh>
    <phoneticPr fontId="3"/>
  </si>
  <si>
    <t>様式4</t>
    <rPh sb="0" eb="2">
      <t>ヨウシキ</t>
    </rPh>
    <phoneticPr fontId="3"/>
  </si>
  <si>
    <t>収支予算書</t>
  </si>
  <si>
    <t>支払内容（科目・細目）</t>
    <rPh sb="5" eb="7">
      <t>カモク</t>
    </rPh>
    <rPh sb="8" eb="10">
      <t>サイモク</t>
    </rPh>
    <phoneticPr fontId="3"/>
  </si>
  <si>
    <t>科目</t>
    <rPh sb="0" eb="2">
      <t>カモク</t>
    </rPh>
    <phoneticPr fontId="3"/>
  </si>
  <si>
    <t>口座番号</t>
    <rPh sb="0" eb="2">
      <t>コウザ</t>
    </rPh>
    <rPh sb="2" eb="4">
      <t>バンゴウ</t>
    </rPh>
    <phoneticPr fontId="3"/>
  </si>
  <si>
    <t>)</t>
  </si>
  <si>
    <t>会場設営費</t>
  </si>
  <si>
    <t>企画・演出費</t>
    <rPh sb="0" eb="2">
      <t>キカク</t>
    </rPh>
    <rPh sb="3" eb="5">
      <t>エンシュツ</t>
    </rPh>
    <rPh sb="5" eb="6">
      <t>ヒ</t>
    </rPh>
    <phoneticPr fontId="3"/>
  </si>
  <si>
    <t>渉外費</t>
  </si>
  <si>
    <t>旅費交通費</t>
  </si>
  <si>
    <t>保険料</t>
  </si>
  <si>
    <t>通信費</t>
  </si>
  <si>
    <t>雑費</t>
  </si>
  <si>
    <t>予備費</t>
  </si>
  <si>
    <t>（単位　：　円）</t>
    <rPh sb="1" eb="3">
      <t>タンイ</t>
    </rPh>
    <rPh sb="6" eb="7">
      <t>エン</t>
    </rPh>
    <phoneticPr fontId="3"/>
  </si>
  <si>
    <t>[様式3]</t>
    <rPh sb="1" eb="3">
      <t>ヨウシキ</t>
    </rPh>
    <phoneticPr fontId="3"/>
  </si>
  <si>
    <t>事業会計関連様式</t>
    <rPh sb="0" eb="4">
      <t>ジギョウカイケイ</t>
    </rPh>
    <rPh sb="4" eb="8">
      <t>カンレンヨウシキ</t>
    </rPh>
    <phoneticPr fontId="3"/>
  </si>
  <si>
    <t>※採用企業合計＋振込手数料＋予備費＝事業費合計になることを確認下さい。</t>
    <rPh sb="1" eb="3">
      <t>サイヨウ</t>
    </rPh>
    <rPh sb="3" eb="5">
      <t>キギョウ</t>
    </rPh>
    <rPh sb="5" eb="7">
      <t>ゴウケイ</t>
    </rPh>
    <rPh sb="8" eb="10">
      <t>フリコ</t>
    </rPh>
    <rPh sb="10" eb="13">
      <t>テスウリョウ</t>
    </rPh>
    <rPh sb="14" eb="17">
      <t>ヨビヒ</t>
    </rPh>
    <rPh sb="18" eb="20">
      <t>ジギョウ</t>
    </rPh>
    <rPh sb="20" eb="21">
      <t>ヒ</t>
    </rPh>
    <rPh sb="21" eb="23">
      <t>ゴウケイ</t>
    </rPh>
    <rPh sb="29" eb="31">
      <t>カクニン</t>
    </rPh>
    <rPh sb="31" eb="32">
      <t>クダ</t>
    </rPh>
    <phoneticPr fontId="3"/>
  </si>
  <si>
    <t>事業名称：</t>
    <rPh sb="0" eb="2">
      <t>ジギョウ</t>
    </rPh>
    <rPh sb="2" eb="4">
      <t>メイショウ</t>
    </rPh>
    <phoneticPr fontId="3"/>
  </si>
  <si>
    <t>有効期限</t>
    <phoneticPr fontId="3"/>
  </si>
  <si>
    <t>見積（請求）企業一覧表</t>
    <rPh sb="3" eb="5">
      <t>セイキュウ</t>
    </rPh>
    <phoneticPr fontId="3"/>
  </si>
  <si>
    <t>採　　用　　企　　業</t>
    <phoneticPr fontId="3"/>
  </si>
  <si>
    <t>※支払先が個人の場合は個人名を企業名欄に記載し、金額欄は源泉税込みの金額を記載すること</t>
    <rPh sb="1" eb="3">
      <t>シハライ</t>
    </rPh>
    <rPh sb="3" eb="4">
      <t>サキ</t>
    </rPh>
    <rPh sb="5" eb="7">
      <t>コジン</t>
    </rPh>
    <rPh sb="8" eb="10">
      <t>バアイ</t>
    </rPh>
    <rPh sb="11" eb="14">
      <t>コジンメイ</t>
    </rPh>
    <rPh sb="15" eb="17">
      <t>キギョウ</t>
    </rPh>
    <rPh sb="17" eb="18">
      <t>メイ</t>
    </rPh>
    <rPh sb="18" eb="19">
      <t>ラン</t>
    </rPh>
    <rPh sb="20" eb="22">
      <t>キサイ</t>
    </rPh>
    <rPh sb="24" eb="26">
      <t>キンガク</t>
    </rPh>
    <rPh sb="26" eb="27">
      <t>ラン</t>
    </rPh>
    <rPh sb="28" eb="30">
      <t>ゲンセン</t>
    </rPh>
    <rPh sb="30" eb="31">
      <t>ゼイ</t>
    </rPh>
    <rPh sb="31" eb="32">
      <t>コミ</t>
    </rPh>
    <rPh sb="34" eb="36">
      <t>キンガク</t>
    </rPh>
    <rPh sb="37" eb="39">
      <t>キサイ</t>
    </rPh>
    <phoneticPr fontId="3"/>
  </si>
  <si>
    <t>（　事業名称　：　　　　　　　　　　　　　　　　　　　　　　　　　　　　　　　　　　　）</t>
    <phoneticPr fontId="3"/>
  </si>
  <si>
    <t>[様式2]</t>
    <rPh sb="1" eb="3">
      <t>ヨウシキ</t>
    </rPh>
    <phoneticPr fontId="3"/>
  </si>
  <si>
    <t>〔様式4〕</t>
    <rPh sb="1" eb="3">
      <t>ヨウシキシキ</t>
    </rPh>
    <phoneticPr fontId="3"/>
  </si>
  <si>
    <t>事　業　計　画　収　支　予　算　書</t>
    <rPh sb="0" eb="3">
      <t>ジギョウ</t>
    </rPh>
    <rPh sb="4" eb="7">
      <t>ケイカク</t>
    </rPh>
    <rPh sb="8" eb="11">
      <t>シュウシ</t>
    </rPh>
    <rPh sb="12" eb="17">
      <t>ヨサンショ</t>
    </rPh>
    <phoneticPr fontId="3"/>
  </si>
  <si>
    <t>細　目</t>
  </si>
  <si>
    <t>登録料収益</t>
  </si>
  <si>
    <t>寄付金収益</t>
  </si>
  <si>
    <t>企業・団体・個人からの事業に対する寄付金</t>
  </si>
  <si>
    <t>補助金</t>
  </si>
  <si>
    <t>国庫補助金</t>
  </si>
  <si>
    <t>国から事業に対する補助金</t>
  </si>
  <si>
    <t>地方公共団体補助金</t>
  </si>
  <si>
    <t>地方公共団体から事業に対する補助金</t>
  </si>
  <si>
    <t>民間補助金</t>
  </si>
  <si>
    <t>団体から事業に対する補助金</t>
  </si>
  <si>
    <t>助成金</t>
  </si>
  <si>
    <t>国庫助成金</t>
  </si>
  <si>
    <t>国より支出される事業委託金</t>
  </si>
  <si>
    <t>地方公共団体助成金</t>
  </si>
  <si>
    <t>地方公共団体より支出される事業委託金</t>
  </si>
  <si>
    <t>民間助成金</t>
  </si>
  <si>
    <t>団体より支出される事業委託金</t>
  </si>
  <si>
    <t>広告料収益</t>
  </si>
  <si>
    <t>新聞、プログラム等に掲載する広告協賛金</t>
  </si>
  <si>
    <t>販売収益</t>
  </si>
  <si>
    <t>物品等の販売による収入</t>
  </si>
  <si>
    <t>事業繰入金</t>
  </si>
  <si>
    <t>一般会計の事業費からの繰入金</t>
  </si>
  <si>
    <t>雑収益</t>
  </si>
  <si>
    <t>預金利息</t>
  </si>
  <si>
    <t>【収益の部】</t>
    <phoneticPr fontId="3"/>
  </si>
  <si>
    <t>【費用の部】</t>
  </si>
  <si>
    <t>会場費</t>
  </si>
  <si>
    <t>設営費</t>
  </si>
  <si>
    <t>会場の舞台装置及び関連設備の費用</t>
  </si>
  <si>
    <t>レンタル料</t>
  </si>
  <si>
    <t>機材等のレンタル料</t>
  </si>
  <si>
    <t>運送費</t>
  </si>
  <si>
    <t>機材等の運搬料</t>
  </si>
  <si>
    <t>人件費</t>
  </si>
  <si>
    <t>会場設営に関わる業者人件費</t>
  </si>
  <si>
    <t>食事代</t>
  </si>
  <si>
    <t>会場設営に関わるボランティア等の食事代</t>
  </si>
  <si>
    <t>企画費</t>
  </si>
  <si>
    <t>事業、大会等の企画費</t>
  </si>
  <si>
    <t>演出費</t>
  </si>
  <si>
    <t>事業、大会等の演出費</t>
  </si>
  <si>
    <t>企画・演出に伴う旅費交通費</t>
  </si>
  <si>
    <t>消耗品費</t>
  </si>
  <si>
    <t>企画・演出に伴う消耗品費</t>
  </si>
  <si>
    <t>企画・演出に伴うボランティア等の食事代</t>
  </si>
  <si>
    <t>本部団の会場使用料</t>
  </si>
  <si>
    <t>本部団の設営機材等の費用</t>
  </si>
  <si>
    <t>本部団の機材等のレンタル料</t>
  </si>
  <si>
    <t>本部団機材の運搬費</t>
  </si>
  <si>
    <t>事務職員、医師・看護婦等の給与及び謝礼金</t>
  </si>
  <si>
    <t>本部団運営に伴う旅費交通費</t>
  </si>
  <si>
    <t>本部団運営に伴う保険料</t>
  </si>
  <si>
    <t>本部団におけるボランティア等の食事代</t>
  </si>
  <si>
    <t>本部団における通信費</t>
  </si>
  <si>
    <t>渉外活動に関する記念品及び役員等の接遇に関する費用</t>
  </si>
  <si>
    <t>諸謝金</t>
  </si>
  <si>
    <t>講師等に支払った支払金で源泉徴収税を含む費用。記念品との併用不可</t>
  </si>
  <si>
    <t>記念品代</t>
  </si>
  <si>
    <t>講師等に謝礼として渡した記念品（土産）</t>
  </si>
  <si>
    <t>交通費</t>
  </si>
  <si>
    <t>講師等に支払った交通費</t>
  </si>
  <si>
    <t>宿泊費</t>
  </si>
  <si>
    <t>講師等に支払った宿泊費</t>
  </si>
  <si>
    <t>講師等に伴う保険料</t>
  </si>
  <si>
    <t>講師等に対する飲食費用</t>
  </si>
  <si>
    <t>広報活動を行うための会場使用料</t>
  </si>
  <si>
    <t>広報活動を行うための設営機材等の費用</t>
  </si>
  <si>
    <t>広報活動を行うための機材等のレンタル料</t>
  </si>
  <si>
    <t>運営費</t>
  </si>
  <si>
    <t>広報活動に関する企画費用・人件費</t>
  </si>
  <si>
    <t>作成費</t>
  </si>
  <si>
    <t>ＰＲ費</t>
  </si>
  <si>
    <t>招待状・案内状等の送付費用</t>
  </si>
  <si>
    <t>資料費</t>
  </si>
  <si>
    <t>資料に使用のため購入した資料費用</t>
  </si>
  <si>
    <t>資料作成に関する機材レンタル料</t>
  </si>
  <si>
    <t>資料の事前の送付費用・運搬費用</t>
  </si>
  <si>
    <t>報告書・ビデオ等の作成・印刷費（写真・翻訳料・デザイン料等含む）</t>
  </si>
  <si>
    <t>報告書作成に関する機材レンタル料</t>
  </si>
  <si>
    <t>報告書等の送付費用・運搬費用</t>
  </si>
  <si>
    <t>役員渉外費</t>
  </si>
  <si>
    <t>対外役員等の接遇に関する費用</t>
  </si>
  <si>
    <t>渉外活動に関する記念品（土産代も含む）</t>
  </si>
  <si>
    <t>旅費</t>
  </si>
  <si>
    <t>参加記念品費</t>
  </si>
  <si>
    <t>事業参加者に渡す記念品</t>
  </si>
  <si>
    <t>事業に関わる損害保険料等</t>
  </si>
  <si>
    <t>上記以外の通信費</t>
  </si>
  <si>
    <t>事業、大会等の会場使用料</t>
    <phoneticPr fontId="3"/>
  </si>
  <si>
    <t>本部団における事務消耗品費</t>
    <phoneticPr fontId="3"/>
  </si>
  <si>
    <t>封筒代等広報に関する消耗品</t>
    <phoneticPr fontId="3"/>
  </si>
  <si>
    <t>性質上他の勘定科目に含まれないもの　振込手数料等</t>
    <rPh sb="18" eb="20">
      <t>フリコミ</t>
    </rPh>
    <rPh sb="20" eb="23">
      <t>テスウリョウ</t>
    </rPh>
    <rPh sb="23" eb="24">
      <t>トウ</t>
    </rPh>
    <phoneticPr fontId="3"/>
  </si>
  <si>
    <t>勘定科目の内容説明</t>
    <phoneticPr fontId="3"/>
  </si>
  <si>
    <t>※不要な行は削除すること</t>
    <rPh sb="1" eb="3">
      <t>フヨウ</t>
    </rPh>
    <rPh sb="4" eb="5">
      <t>ギョウ</t>
    </rPh>
    <rPh sb="6" eb="8">
      <t>サクジョ</t>
    </rPh>
    <phoneticPr fontId="3"/>
  </si>
  <si>
    <t>新聞・雑誌等の掲載料、および看板等の事業広報のための費用</t>
    <phoneticPr fontId="3"/>
  </si>
  <si>
    <t>No</t>
  </si>
  <si>
    <t>No</t>
    <phoneticPr fontId="3"/>
  </si>
  <si>
    <t>※見積書へ見積No.をまたは請求書へ請求No.を記載すること</t>
    <rPh sb="1" eb="4">
      <t>ミツモリショ</t>
    </rPh>
    <rPh sb="5" eb="7">
      <t>ミツ</t>
    </rPh>
    <rPh sb="14" eb="17">
      <t>セイキュウショ</t>
    </rPh>
    <rPh sb="18" eb="20">
      <t>セイキュウ</t>
    </rPh>
    <rPh sb="24" eb="26">
      <t>キサイ</t>
    </rPh>
    <phoneticPr fontId="3"/>
  </si>
  <si>
    <t>アルバイト、通訳、アドバイザ-等の人件費</t>
  </si>
  <si>
    <t>招待状・案内状・ポスタ-・チラシ・広報ビデオ等の作成印刷費</t>
  </si>
  <si>
    <t>ビデオ・イラスト・当日配布資料・アンケ-ト等の作成印刷費用</t>
    <rPh sb="21" eb="22">
      <t>トウ</t>
    </rPh>
    <phoneticPr fontId="3"/>
  </si>
  <si>
    <t>テ-プ・フィルム等資料作成の消耗品</t>
  </si>
  <si>
    <t>テ-プ・フィルム等報告書作成の消耗品</t>
  </si>
  <si>
    <t>事業・セミナ-等を行うために要した交通費</t>
  </si>
  <si>
    <t>事業・セミナ-等に行うために要した宿泊費</t>
  </si>
  <si>
    <t>事業・セミナ-等に行うために要した旅費</t>
  </si>
  <si>
    <t>見積企業一覧表</t>
    <phoneticPr fontId="3"/>
  </si>
  <si>
    <t>※見積№と一致しているか確認して、見積書にリンクさせて下さい。
※摘要は何をいくつ使うのか具体的に記入。（数量の根拠が必要）</t>
    <phoneticPr fontId="3"/>
  </si>
  <si>
    <t>※必ず別記「勘定科目」を遵守して下さい。
※予備費は全ての事業につき、事業予算の3%以内として下さい。</t>
    <phoneticPr fontId="3"/>
  </si>
  <si>
    <t>注意事項</t>
    <rPh sb="0" eb="2">
      <t>チュウイ</t>
    </rPh>
    <rPh sb="2" eb="4">
      <t>ジコウ</t>
    </rPh>
    <phoneticPr fontId="3"/>
  </si>
  <si>
    <t>消費税等課税区分</t>
    <rPh sb="0" eb="3">
      <t>ショウヒゼイ</t>
    </rPh>
    <rPh sb="3" eb="4">
      <t>トウ</t>
    </rPh>
    <rPh sb="4" eb="6">
      <t>カゼイ</t>
    </rPh>
    <rPh sb="6" eb="8">
      <t>クブン</t>
    </rPh>
    <phoneticPr fontId="3"/>
  </si>
  <si>
    <t>事業参加者の会費　（注１</t>
    <rPh sb="10" eb="11">
      <t>チュウ</t>
    </rPh>
    <phoneticPr fontId="3"/>
  </si>
  <si>
    <t>課税収益</t>
  </si>
  <si>
    <t>特定収益</t>
  </si>
  <si>
    <t>特定収益（注２</t>
    <phoneticPr fontId="3"/>
  </si>
  <si>
    <t>特定収益（注２</t>
  </si>
  <si>
    <t>その他収益</t>
  </si>
  <si>
    <t>非課税収益（注３</t>
    <rPh sb="6" eb="7">
      <t>チュウ</t>
    </rPh>
    <phoneticPr fontId="3"/>
  </si>
  <si>
    <t>消費税等課税区分</t>
  </si>
  <si>
    <t>課税支出</t>
  </si>
  <si>
    <t>非課税その他 （注５</t>
    <phoneticPr fontId="3"/>
  </si>
  <si>
    <t>課税支出（注５</t>
    <phoneticPr fontId="3"/>
  </si>
  <si>
    <t>課税支出（注 １０</t>
    <phoneticPr fontId="3"/>
  </si>
  <si>
    <t>非課税その他（注５</t>
    <rPh sb="7" eb="8">
      <t>チュウ</t>
    </rPh>
    <phoneticPr fontId="3"/>
  </si>
  <si>
    <t>課税支出（注６</t>
    <phoneticPr fontId="3"/>
  </si>
  <si>
    <t>非課税その他</t>
  </si>
  <si>
    <t>課税支出（注１０</t>
    <phoneticPr fontId="3"/>
  </si>
  <si>
    <t>課税支出（注７</t>
    <phoneticPr fontId="3"/>
  </si>
  <si>
    <t>課税支出（注８</t>
    <phoneticPr fontId="3"/>
  </si>
  <si>
    <t>非課税その他（注９</t>
    <phoneticPr fontId="3"/>
  </si>
  <si>
    <t>課税支出（注９</t>
    <phoneticPr fontId="3"/>
  </si>
  <si>
    <t>内容によって判定</t>
    <phoneticPr fontId="3"/>
  </si>
  <si>
    <t>全ての事業につき総予算の3%以内としてください。</t>
    <phoneticPr fontId="3"/>
  </si>
  <si>
    <t>注１）コンファレンス、地区大会、全国大会他、純粋に会議・セミナーの登録料は「登録料収益」。</t>
    <phoneticPr fontId="3"/>
  </si>
  <si>
    <t>注２） 原則として公益事業に支出してください。使用用途によって課税収益となる場合がありますので財政特別理事に相談下さい。</t>
    <rPh sb="49" eb="51">
      <t>トクベツ</t>
    </rPh>
    <rPh sb="51" eb="53">
      <t>リジ</t>
    </rPh>
    <phoneticPr fontId="3"/>
  </si>
  <si>
    <t>注３） 受取利息は｢非課税収益｣、その他の雑収益は内容によって区分</t>
  </si>
  <si>
    <t>注４） 寄付金：企業からの協賛金など、企業・団体・個人などから事業などに対して無償で給付される</t>
    <phoneticPr fontId="3"/>
  </si>
  <si>
    <t>　　　金銭補助金：政府や団体などに申請し、審査を通過することで交付される金銭的な給付</t>
    <phoneticPr fontId="3"/>
  </si>
  <si>
    <t>　　　助成金：政府や団体などから資格要件を満たしていれば交付される金銭的な給付</t>
    <phoneticPr fontId="3"/>
  </si>
  <si>
    <r>
      <t>注５）</t>
    </r>
    <r>
      <rPr>
        <sz val="7"/>
        <rFont val="ＭＳ ゴシック"/>
        <family val="3"/>
        <charset val="128"/>
      </rPr>
      <t>  </t>
    </r>
    <r>
      <rPr>
        <sz val="7"/>
        <rFont val="Times New Roman"/>
        <family val="1"/>
      </rPr>
      <t xml:space="preserve"> </t>
    </r>
    <r>
      <rPr>
        <sz val="10"/>
        <rFont val="ＭＳ ゴシック"/>
        <family val="3"/>
        <charset val="128"/>
      </rPr>
      <t>アルバイト等給与に該当するもの。人材派遣会社等に支払うものは｢課税支出｣</t>
    </r>
    <phoneticPr fontId="3"/>
  </si>
  <si>
    <r>
      <rPr>
        <sz val="7"/>
        <rFont val="Times New Roman"/>
        <family val="1"/>
      </rPr>
      <t xml:space="preserve"> </t>
    </r>
    <r>
      <rPr>
        <sz val="10"/>
        <rFont val="ＭＳ ゴシック"/>
        <family val="3"/>
        <charset val="128"/>
      </rPr>
      <t>注６）海外渡航費、海外での宿泊費等は｢非課税その他｣</t>
    </r>
    <phoneticPr fontId="3"/>
  </si>
  <si>
    <t>注７）国際電信電話、国際郵便は｢非課税その他｣</t>
    <phoneticPr fontId="3"/>
  </si>
  <si>
    <t>注８）商品券等物品切手を渡す場合は｢非課税その他｣</t>
    <phoneticPr fontId="3"/>
  </si>
  <si>
    <t>注９）金銭をそのまま渡す場合。物品等の場合は、その都度判定する</t>
    <phoneticPr fontId="3"/>
  </si>
  <si>
    <t>注１０）食事代の中に軽減税率対象分がある場合は注意して下さい。</t>
    <phoneticPr fontId="3"/>
  </si>
  <si>
    <t>注１１）公認会計士への報酬は事業費には計上せず、管理費で監査に対する報酬を支払う報告議案を別途上程してください。</t>
    <phoneticPr fontId="3"/>
  </si>
  <si>
    <t>注１２）細目がない科目（参加記念品費・保険料・通信費・雑費・予備費等）について、様式４の細目欄は空欄としてく ださい。</t>
    <phoneticPr fontId="3"/>
  </si>
  <si>
    <t>注１３）上記 注６）、注７）以外に海外で行う事業は国内の業者へ委託する場合もほぼ「非課税その他」の区分となるため、</t>
    <phoneticPr fontId="3"/>
  </si>
  <si>
    <t>　　　　財政特別理事において都度判定する。</t>
    <phoneticPr fontId="3"/>
  </si>
  <si>
    <t>見積NO.から見積書にリンクさせてください。</t>
    <phoneticPr fontId="3"/>
  </si>
  <si>
    <t>企画・演出費</t>
    <phoneticPr fontId="3"/>
  </si>
  <si>
    <t>本部団関係費</t>
    <phoneticPr fontId="3"/>
  </si>
  <si>
    <t>講師関係費</t>
    <phoneticPr fontId="3"/>
  </si>
  <si>
    <t>広報費</t>
    <phoneticPr fontId="3"/>
  </si>
  <si>
    <t>資料作成費</t>
    <phoneticPr fontId="3"/>
  </si>
  <si>
    <t>報告書作成費</t>
    <phoneticPr fontId="3"/>
  </si>
  <si>
    <t>渉外費</t>
    <phoneticPr fontId="3"/>
  </si>
  <si>
    <t>旅費交通費</t>
    <phoneticPr fontId="3"/>
  </si>
  <si>
    <t>2025年度　財政予算様式フォ-ム</t>
    <rPh sb="7" eb="9">
      <t>ザイセイ</t>
    </rPh>
    <rPh sb="9" eb="11">
      <t>ヨサン</t>
    </rPh>
    <rPh sb="11" eb="12">
      <t>ヨウ</t>
    </rPh>
    <rPh sb="12" eb="13">
      <t>シキ</t>
    </rPh>
    <phoneticPr fontId="3"/>
  </si>
  <si>
    <t>2025年度　勘定科目一覧　　　　　</t>
    <rPh sb="7" eb="9">
      <t>カンジョウ</t>
    </rPh>
    <rPh sb="9" eb="11">
      <t>カモク</t>
    </rPh>
    <rPh sb="11" eb="13">
      <t>イチラン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</si>
</sst>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quot;-&quot;"/>
  </numFmts>
  <fonts count="32">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u/>
      <sz val="8.25"/>
      <color indexed="12"/>
      <name val="ＭＳ Ｐゴシック"/>
      <family val="3"/>
      <charset val="128"/>
    </font>
    <font>
      <sz val="12"/>
      <name val="ＭＳ Ｐゴシック"/>
      <family val="3"/>
      <charset val="128"/>
    </font>
    <font>
      <sz val="14"/>
      <name val="ＭＳ Ｐゴシック"/>
      <family val="3"/>
      <charset val="128"/>
    </font>
    <font>
      <sz val="18"/>
      <name val="ＭＳ Ｐゴシック"/>
      <family val="3"/>
      <charset val="128"/>
    </font>
    <font>
      <b/>
      <u/>
      <sz val="11"/>
      <name val="ＭＳ Ｐゴシック"/>
      <family val="3"/>
      <charset val="128"/>
    </font>
    <font>
      <sz val="11"/>
      <name val="ＭＳ Ｐゴシック"/>
      <family val="3"/>
      <charset val="128"/>
    </font>
    <font>
      <sz val="11"/>
      <name val="ＭＳ Ｐゴシック"/>
      <family val="3"/>
      <charset val="128"/>
    </font>
    <font>
      <sz val="10"/>
      <color indexed="8"/>
      <name val="Arial"/>
      <family val="2"/>
    </font>
    <font>
      <b/>
      <sz val="12"/>
      <name val="Arial"/>
      <family val="2"/>
    </font>
    <font>
      <sz val="10"/>
      <name val="Arial"/>
      <family val="2"/>
    </font>
    <font>
      <b/>
      <u/>
      <sz val="12"/>
      <name val="ＭＳ Ｐゴシック"/>
      <family val="3"/>
      <charset val="128"/>
    </font>
    <font>
      <sz val="11"/>
      <color theme="1"/>
      <name val="ＭＳ Ｐゴシック"/>
      <family val="3"/>
      <charset val="128"/>
      <scheme val="minor"/>
    </font>
    <font>
      <b/>
      <sz val="11"/>
      <color rgb="FFFF0000"/>
      <name val="ＭＳ Ｐゴシック"/>
      <family val="3"/>
      <charset val="128"/>
    </font>
    <font>
      <sz val="10"/>
      <name val="ＭＳ 明朝"/>
      <family val="1"/>
      <charset val="128"/>
    </font>
    <font>
      <b/>
      <sz val="9"/>
      <color indexed="81"/>
      <name val="MS P ゴシック"/>
      <family val="3"/>
      <charset val="128"/>
    </font>
    <font>
      <sz val="11"/>
      <color theme="0"/>
      <name val="ＭＳ Ｐゴシック"/>
      <family val="3"/>
      <charset val="128"/>
    </font>
    <font>
      <b/>
      <sz val="14"/>
      <color indexed="81"/>
      <name val="MS P ゴシック"/>
      <family val="3"/>
      <charset val="128"/>
    </font>
    <font>
      <b/>
      <sz val="16"/>
      <color indexed="81"/>
      <name val="MS P ゴシック"/>
      <family val="3"/>
      <charset val="128"/>
    </font>
    <font>
      <sz val="11"/>
      <name val="ＭＳ 明朝"/>
      <family val="1"/>
      <charset val="128"/>
    </font>
    <font>
      <sz val="11"/>
      <name val="ＭＳ ゴシック"/>
      <family val="3"/>
      <charset val="128"/>
    </font>
    <font>
      <sz val="10"/>
      <name val="ＭＳ ゴシック"/>
      <family val="3"/>
      <charset val="128"/>
    </font>
    <font>
      <b/>
      <sz val="11"/>
      <name val="ＭＳ 明朝"/>
      <family val="1"/>
      <charset val="128"/>
    </font>
    <font>
      <b/>
      <sz val="9"/>
      <name val="ＭＳ 明朝"/>
      <family val="1"/>
      <charset val="128"/>
    </font>
    <font>
      <b/>
      <sz val="8.25"/>
      <name val="ＭＳ 明朝"/>
      <family val="1"/>
      <charset val="128"/>
    </font>
    <font>
      <b/>
      <sz val="18"/>
      <name val="ＭＳ 明朝"/>
      <family val="1"/>
      <charset val="128"/>
    </font>
    <font>
      <sz val="9"/>
      <name val="ＭＳ 明朝"/>
      <family val="1"/>
      <charset val="128"/>
    </font>
    <font>
      <sz val="7"/>
      <name val="ＭＳ ゴシック"/>
      <family val="3"/>
      <charset val="128"/>
    </font>
    <font>
      <sz val="7"/>
      <name val="Times New Roman"/>
      <family val="1"/>
    </font>
  </fonts>
  <fills count="3">
    <fill>
      <patternFill patternType="none"/>
    </fill>
    <fill>
      <patternFill patternType="gray125"/>
    </fill>
    <fill>
      <patternFill patternType="solid">
        <fgColor indexed="9"/>
        <bgColor indexed="64"/>
      </patternFill>
    </fill>
  </fills>
  <borders count="3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right/>
      <top style="thin">
        <color indexed="64"/>
      </top>
      <bottom style="double">
        <color indexed="64"/>
      </bottom>
      <diagonal/>
    </border>
    <border>
      <left/>
      <right style="double">
        <color indexed="64"/>
      </right>
      <top/>
      <bottom style="thin">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s>
  <cellStyleXfs count="16">
    <xf numFmtId="0" fontId="0" fillId="0" borderId="0"/>
    <xf numFmtId="177" fontId="11" fillId="0" borderId="0" applyFill="0" applyBorder="0" applyAlignment="0"/>
    <xf numFmtId="0" fontId="12" fillId="0" borderId="1" applyNumberFormat="0" applyAlignment="0" applyProtection="0">
      <alignment horizontal="left" vertical="center"/>
    </xf>
    <xf numFmtId="0" fontId="12" fillId="0" borderId="2">
      <alignment horizontal="left" vertical="center"/>
    </xf>
    <xf numFmtId="0" fontId="13" fillId="0" borderId="0"/>
    <xf numFmtId="0" fontId="4" fillId="0" borderId="0" applyNumberFormat="0" applyFill="0" applyBorder="0" applyAlignment="0" applyProtection="0"/>
    <xf numFmtId="38" fontId="2" fillId="0" borderId="0" applyFont="0" applyFill="0" applyBorder="0" applyAlignment="0" applyProtection="0"/>
    <xf numFmtId="38" fontId="10" fillId="0" borderId="0" applyFont="0" applyFill="0" applyBorder="0" applyAlignment="0" applyProtection="0"/>
    <xf numFmtId="38" fontId="2" fillId="0" borderId="0" applyFont="0" applyFill="0" applyBorder="0" applyAlignment="0" applyProtection="0"/>
    <xf numFmtId="38" fontId="15" fillId="0" borderId="0" applyFont="0" applyFill="0" applyBorder="0" applyAlignment="0" applyProtection="0">
      <alignment vertical="center"/>
    </xf>
    <xf numFmtId="0" fontId="10" fillId="0" borderId="0"/>
    <xf numFmtId="0" fontId="15" fillId="0" borderId="0">
      <alignment vertical="center"/>
    </xf>
    <xf numFmtId="0" fontId="2" fillId="0" borderId="0">
      <alignment vertical="center"/>
    </xf>
    <xf numFmtId="0" fontId="2" fillId="0" borderId="0">
      <alignment vertical="center"/>
    </xf>
    <xf numFmtId="0" fontId="2" fillId="0" borderId="0"/>
    <xf numFmtId="0" fontId="1" fillId="0" borderId="0">
      <alignment vertical="center"/>
    </xf>
  </cellStyleXfs>
  <cellXfs count="151">
    <xf numFmtId="0" fontId="0" fillId="0" borderId="0" xfId="0"/>
    <xf numFmtId="0" fontId="2" fillId="0" borderId="0" xfId="14" applyAlignment="1">
      <alignment vertical="center"/>
    </xf>
    <xf numFmtId="0" fontId="0" fillId="0" borderId="0" xfId="14" applyFont="1" applyAlignment="1">
      <alignment vertical="center"/>
    </xf>
    <xf numFmtId="0" fontId="0" fillId="0" borderId="0" xfId="14" applyFont="1" applyAlignment="1">
      <alignment horizontal="right" vertical="center"/>
    </xf>
    <xf numFmtId="0" fontId="0" fillId="0" borderId="0" xfId="14" applyFont="1" applyAlignment="1">
      <alignment horizontal="center" vertical="center"/>
    </xf>
    <xf numFmtId="0" fontId="0" fillId="0" borderId="3" xfId="14" applyFont="1" applyBorder="1" applyAlignment="1">
      <alignment horizontal="center" vertical="center"/>
    </xf>
    <xf numFmtId="0" fontId="0" fillId="0" borderId="4" xfId="14" applyFont="1" applyBorder="1" applyAlignment="1">
      <alignment horizontal="center" vertical="center"/>
    </xf>
    <xf numFmtId="0" fontId="0" fillId="0" borderId="5" xfId="14" applyFont="1" applyBorder="1" applyAlignment="1">
      <alignment horizontal="right" vertical="center"/>
    </xf>
    <xf numFmtId="0" fontId="0" fillId="0" borderId="6" xfId="14" applyFont="1" applyBorder="1" applyAlignment="1">
      <alignment vertical="center"/>
    </xf>
    <xf numFmtId="0" fontId="0" fillId="0" borderId="7" xfId="14" applyFont="1" applyBorder="1" applyAlignment="1">
      <alignment vertical="center"/>
    </xf>
    <xf numFmtId="0" fontId="0" fillId="0" borderId="5" xfId="14" applyFont="1" applyBorder="1" applyAlignment="1">
      <alignment vertical="center"/>
    </xf>
    <xf numFmtId="0" fontId="0" fillId="0" borderId="8" xfId="14" applyFont="1" applyBorder="1" applyAlignment="1">
      <alignment vertical="center"/>
    </xf>
    <xf numFmtId="0" fontId="0" fillId="0" borderId="9" xfId="14" applyFont="1" applyBorder="1" applyAlignment="1">
      <alignment horizontal="center" vertical="center"/>
    </xf>
    <xf numFmtId="0" fontId="0" fillId="0" borderId="10" xfId="14" applyFont="1" applyBorder="1" applyAlignment="1">
      <alignment horizontal="center" vertical="center"/>
    </xf>
    <xf numFmtId="0" fontId="0" fillId="0" borderId="11" xfId="14" applyFont="1" applyBorder="1" applyAlignment="1">
      <alignment horizontal="center" vertical="center"/>
    </xf>
    <xf numFmtId="0" fontId="0" fillId="0" borderId="5" xfId="14" applyFont="1" applyBorder="1" applyAlignment="1">
      <alignment horizontal="center" vertical="center"/>
    </xf>
    <xf numFmtId="0" fontId="0" fillId="0" borderId="11" xfId="14" applyFont="1" applyBorder="1" applyAlignment="1">
      <alignment vertical="center"/>
    </xf>
    <xf numFmtId="176" fontId="0" fillId="0" borderId="2" xfId="14" applyNumberFormat="1" applyFont="1" applyBorder="1" applyAlignment="1">
      <alignment vertical="center"/>
    </xf>
    <xf numFmtId="176" fontId="0" fillId="0" borderId="8" xfId="14" applyNumberFormat="1" applyFont="1" applyBorder="1" applyAlignment="1">
      <alignment vertical="center"/>
    </xf>
    <xf numFmtId="0" fontId="5" fillId="0" borderId="0" xfId="14" applyFont="1" applyAlignment="1">
      <alignment vertical="center"/>
    </xf>
    <xf numFmtId="0" fontId="0" fillId="0" borderId="12" xfId="14" applyFont="1" applyBorder="1" applyAlignment="1">
      <alignment vertical="center"/>
    </xf>
    <xf numFmtId="0" fontId="0" fillId="0" borderId="13" xfId="14" applyFont="1" applyBorder="1" applyAlignment="1">
      <alignment horizontal="center" vertical="center"/>
    </xf>
    <xf numFmtId="0" fontId="0" fillId="0" borderId="3" xfId="14" applyFont="1" applyBorder="1" applyAlignment="1">
      <alignment vertical="center"/>
    </xf>
    <xf numFmtId="0" fontId="0" fillId="0" borderId="2" xfId="14" applyFont="1" applyBorder="1" applyAlignment="1">
      <alignment horizontal="distributed" vertical="center"/>
    </xf>
    <xf numFmtId="0" fontId="0" fillId="0" borderId="2" xfId="14" applyFont="1" applyBorder="1" applyAlignment="1">
      <alignment vertical="center"/>
    </xf>
    <xf numFmtId="0" fontId="0" fillId="0" borderId="4" xfId="14" applyFont="1" applyBorder="1" applyAlignment="1">
      <alignment vertical="center"/>
    </xf>
    <xf numFmtId="0" fontId="0" fillId="0" borderId="8" xfId="14" applyFont="1" applyBorder="1" applyAlignment="1">
      <alignment horizontal="distributed" vertical="center"/>
    </xf>
    <xf numFmtId="0" fontId="0" fillId="0" borderId="7" xfId="14" applyFont="1" applyBorder="1" applyAlignment="1">
      <alignment horizontal="center" vertical="center"/>
    </xf>
    <xf numFmtId="0" fontId="0" fillId="0" borderId="6" xfId="14" applyFont="1" applyBorder="1" applyAlignment="1">
      <alignment horizontal="distributed" vertical="center"/>
    </xf>
    <xf numFmtId="176" fontId="0" fillId="0" borderId="6" xfId="14" applyNumberFormat="1" applyFont="1" applyBorder="1" applyAlignment="1">
      <alignment vertical="center"/>
    </xf>
    <xf numFmtId="0" fontId="0" fillId="0" borderId="0" xfId="14" applyFont="1" applyAlignment="1">
      <alignment horizontal="justify" vertical="center"/>
    </xf>
    <xf numFmtId="176" fontId="0" fillId="0" borderId="8" xfId="6" applyNumberFormat="1" applyFont="1" applyBorder="1" applyAlignment="1">
      <alignment vertical="center"/>
    </xf>
    <xf numFmtId="0" fontId="0" fillId="0" borderId="7" xfId="14" applyFont="1" applyBorder="1" applyAlignment="1">
      <alignment horizontal="right" vertical="center"/>
    </xf>
    <xf numFmtId="176" fontId="0" fillId="0" borderId="4" xfId="14" applyNumberFormat="1" applyFont="1" applyBorder="1" applyAlignment="1">
      <alignment vertical="center"/>
    </xf>
    <xf numFmtId="0" fontId="0" fillId="0" borderId="14" xfId="14" applyFont="1" applyBorder="1" applyAlignment="1">
      <alignment horizontal="center" vertical="center"/>
    </xf>
    <xf numFmtId="0" fontId="0" fillId="0" borderId="15" xfId="14" applyFont="1" applyBorder="1" applyAlignment="1">
      <alignment horizontal="center" vertical="center"/>
    </xf>
    <xf numFmtId="0" fontId="0" fillId="0" borderId="8" xfId="14" applyFont="1" applyBorder="1" applyAlignment="1">
      <alignment horizontal="center" vertical="center"/>
    </xf>
    <xf numFmtId="0" fontId="0" fillId="0" borderId="10" xfId="14" applyFont="1" applyBorder="1" applyAlignment="1">
      <alignment vertical="center"/>
    </xf>
    <xf numFmtId="0" fontId="2" fillId="0" borderId="5" xfId="14" applyBorder="1" applyAlignment="1">
      <alignment horizontal="center" vertical="center"/>
    </xf>
    <xf numFmtId="0" fontId="2" fillId="0" borderId="8" xfId="14" applyBorder="1" applyAlignment="1">
      <alignment horizontal="distributed" vertical="center"/>
    </xf>
    <xf numFmtId="176" fontId="2" fillId="0" borderId="8" xfId="14" applyNumberFormat="1" applyBorder="1" applyAlignment="1">
      <alignment vertical="center"/>
    </xf>
    <xf numFmtId="0" fontId="2" fillId="0" borderId="8" xfId="14" applyBorder="1" applyAlignment="1">
      <alignment vertical="center"/>
    </xf>
    <xf numFmtId="0" fontId="0" fillId="0" borderId="0" xfId="0" applyAlignment="1">
      <alignment horizontal="center"/>
    </xf>
    <xf numFmtId="0" fontId="7" fillId="0" borderId="0" xfId="14" applyFont="1" applyAlignment="1">
      <alignment vertical="center"/>
    </xf>
    <xf numFmtId="0" fontId="0" fillId="0" borderId="19" xfId="14" applyFont="1" applyBorder="1" applyAlignment="1">
      <alignment horizontal="center" vertical="center"/>
    </xf>
    <xf numFmtId="0" fontId="0" fillId="0" borderId="26" xfId="14" applyFont="1" applyBorder="1" applyAlignment="1">
      <alignment horizontal="center" vertical="center"/>
    </xf>
    <xf numFmtId="0" fontId="0" fillId="0" borderId="20" xfId="14" applyFont="1" applyBorder="1" applyAlignment="1">
      <alignment horizontal="center" vertical="center"/>
    </xf>
    <xf numFmtId="0" fontId="0" fillId="0" borderId="9" xfId="14" applyFont="1" applyBorder="1" applyAlignment="1">
      <alignment horizontal="center"/>
    </xf>
    <xf numFmtId="176" fontId="0" fillId="0" borderId="4" xfId="6" applyNumberFormat="1" applyFont="1" applyBorder="1" applyAlignment="1">
      <alignment horizontal="right"/>
    </xf>
    <xf numFmtId="0" fontId="7" fillId="0" borderId="0" xfId="14" applyFont="1" applyAlignment="1">
      <alignment horizontal="center"/>
    </xf>
    <xf numFmtId="0" fontId="0" fillId="0" borderId="0" xfId="14" applyFont="1" applyAlignment="1">
      <alignment horizontal="center"/>
    </xf>
    <xf numFmtId="0" fontId="0" fillId="0" borderId="8" xfId="14" applyFont="1" applyBorder="1" applyAlignment="1">
      <alignment horizontal="center"/>
    </xf>
    <xf numFmtId="0" fontId="0" fillId="0" borderId="10" xfId="14" applyFont="1" applyBorder="1" applyAlignment="1">
      <alignment horizontal="center"/>
    </xf>
    <xf numFmtId="0" fontId="16" fillId="0" borderId="0" xfId="14" applyFont="1" applyAlignment="1">
      <alignment horizontal="center"/>
    </xf>
    <xf numFmtId="0" fontId="16" fillId="0" borderId="0" xfId="0" applyFont="1" applyAlignment="1">
      <alignment horizontal="center"/>
    </xf>
    <xf numFmtId="0" fontId="8" fillId="0" borderId="0" xfId="14" applyFont="1" applyAlignment="1">
      <alignment horizontal="center"/>
    </xf>
    <xf numFmtId="0" fontId="9" fillId="0" borderId="0" xfId="14" applyFont="1" applyAlignment="1">
      <alignment horizontal="center"/>
    </xf>
    <xf numFmtId="176" fontId="0" fillId="0" borderId="10" xfId="14" applyNumberFormat="1" applyFont="1" applyBorder="1" applyAlignment="1">
      <alignment horizontal="right" vertical="center"/>
    </xf>
    <xf numFmtId="176" fontId="0" fillId="0" borderId="9" xfId="14" applyNumberFormat="1" applyFont="1" applyBorder="1" applyAlignment="1">
      <alignment horizontal="right" vertical="center"/>
    </xf>
    <xf numFmtId="176" fontId="0" fillId="0" borderId="4" xfId="14" applyNumberFormat="1" applyFont="1" applyBorder="1" applyAlignment="1">
      <alignment horizontal="right"/>
    </xf>
    <xf numFmtId="0" fontId="0" fillId="0" borderId="0" xfId="0" applyAlignment="1">
      <alignment horizontal="left"/>
    </xf>
    <xf numFmtId="10" fontId="0" fillId="0" borderId="8" xfId="14" applyNumberFormat="1" applyFont="1" applyBorder="1" applyAlignment="1">
      <alignment vertical="center"/>
    </xf>
    <xf numFmtId="0" fontId="0" fillId="0" borderId="0" xfId="14" applyFont="1" applyAlignment="1">
      <alignment horizontal="left"/>
    </xf>
    <xf numFmtId="176" fontId="0" fillId="0" borderId="0" xfId="6" applyNumberFormat="1" applyFont="1" applyBorder="1" applyAlignment="1">
      <alignment horizontal="right"/>
    </xf>
    <xf numFmtId="176" fontId="0" fillId="0" borderId="0" xfId="14" applyNumberFormat="1" applyFont="1" applyAlignment="1">
      <alignment horizontal="right"/>
    </xf>
    <xf numFmtId="0" fontId="0" fillId="0" borderId="9" xfId="14" applyFont="1" applyBorder="1" applyAlignment="1">
      <alignment vertical="center"/>
    </xf>
    <xf numFmtId="0" fontId="19" fillId="0" borderId="6" xfId="14" applyFont="1" applyBorder="1" applyAlignment="1">
      <alignment vertical="center"/>
    </xf>
    <xf numFmtId="0" fontId="19" fillId="0" borderId="8" xfId="14" applyFont="1" applyBorder="1" applyAlignment="1">
      <alignment vertical="center"/>
    </xf>
    <xf numFmtId="0" fontId="2" fillId="0" borderId="10" xfId="14" applyBorder="1" applyAlignment="1">
      <alignment horizontal="center"/>
    </xf>
    <xf numFmtId="176" fontId="0" fillId="0" borderId="8" xfId="6" applyNumberFormat="1" applyFont="1" applyBorder="1" applyAlignment="1">
      <alignment horizontal="right" wrapText="1"/>
    </xf>
    <xf numFmtId="0" fontId="2" fillId="0" borderId="16" xfId="14" applyBorder="1" applyAlignment="1">
      <alignment horizontal="center" vertical="center" wrapText="1"/>
    </xf>
    <xf numFmtId="0" fontId="2" fillId="0" borderId="20" xfId="14" applyBorder="1" applyAlignment="1">
      <alignment horizontal="center" vertical="center" wrapText="1"/>
    </xf>
    <xf numFmtId="31" fontId="0" fillId="0" borderId="27" xfId="14" applyNumberFormat="1" applyFont="1" applyBorder="1" applyAlignment="1">
      <alignment horizontal="center"/>
    </xf>
    <xf numFmtId="0" fontId="0" fillId="0" borderId="8" xfId="14" applyFont="1" applyBorder="1" applyAlignment="1">
      <alignment vertical="center" wrapText="1"/>
    </xf>
    <xf numFmtId="0" fontId="0" fillId="0" borderId="6" xfId="14" applyFont="1" applyBorder="1" applyAlignment="1">
      <alignment vertical="center" wrapText="1"/>
    </xf>
    <xf numFmtId="0" fontId="22" fillId="0" borderId="11" xfId="0" applyFont="1" applyBorder="1" applyAlignment="1">
      <alignment horizontal="justify" vertical="center"/>
    </xf>
    <xf numFmtId="0" fontId="22" fillId="0" borderId="9"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9" xfId="0" applyFont="1" applyBorder="1" applyAlignment="1">
      <alignment horizontal="justify" vertical="center" wrapText="1"/>
    </xf>
    <xf numFmtId="0" fontId="22" fillId="0" borderId="4" xfId="0" applyFont="1" applyBorder="1" applyAlignment="1">
      <alignment horizontal="justify" vertical="center" wrapText="1"/>
    </xf>
    <xf numFmtId="0" fontId="22" fillId="0" borderId="9" xfId="0" applyFont="1" applyBorder="1" applyAlignment="1">
      <alignment horizontal="left" vertical="center" wrapText="1"/>
    </xf>
    <xf numFmtId="0" fontId="22" fillId="0" borderId="21" xfId="0" applyFont="1" applyBorder="1" applyAlignment="1">
      <alignment horizontal="justify" vertical="center" wrapText="1"/>
    </xf>
    <xf numFmtId="0" fontId="22" fillId="0" borderId="17" xfId="0" applyFont="1" applyBorder="1" applyAlignment="1">
      <alignment horizontal="justify" vertical="center" wrapText="1"/>
    </xf>
    <xf numFmtId="0" fontId="22" fillId="0" borderId="10" xfId="0" applyFont="1" applyBorder="1" applyAlignment="1">
      <alignment horizontal="justify" vertical="center" wrapText="1"/>
    </xf>
    <xf numFmtId="0" fontId="22" fillId="0" borderId="6" xfId="0" applyFont="1" applyBorder="1" applyAlignment="1">
      <alignment horizontal="justify" vertical="center" wrapText="1"/>
    </xf>
    <xf numFmtId="0" fontId="23" fillId="0" borderId="0" xfId="0" applyFont="1"/>
    <xf numFmtId="0" fontId="22" fillId="0" borderId="8" xfId="0" applyFont="1" applyBorder="1" applyAlignment="1">
      <alignment horizontal="justify" vertical="center" wrapText="1"/>
    </xf>
    <xf numFmtId="0" fontId="22" fillId="0" borderId="13" xfId="0" applyFont="1" applyBorder="1" applyAlignment="1">
      <alignment horizontal="justify" vertical="center" wrapText="1"/>
    </xf>
    <xf numFmtId="0" fontId="25" fillId="0" borderId="0" xfId="0" applyFont="1"/>
    <xf numFmtId="0" fontId="25" fillId="0" borderId="0" xfId="0" applyFont="1" applyAlignment="1">
      <alignment vertical="top"/>
    </xf>
    <xf numFmtId="0" fontId="27" fillId="2" borderId="0" xfId="5" applyFont="1" applyFill="1" applyBorder="1" applyAlignment="1">
      <alignment horizontal="left" vertical="center"/>
    </xf>
    <xf numFmtId="0" fontId="26" fillId="2" borderId="0" xfId="0" applyFont="1" applyFill="1" applyAlignment="1">
      <alignment horizontal="left" vertical="center" wrapText="1"/>
    </xf>
    <xf numFmtId="0" fontId="26" fillId="2" borderId="0" xfId="0" applyFont="1" applyFill="1" applyAlignment="1">
      <alignment vertical="center" wrapText="1"/>
    </xf>
    <xf numFmtId="0" fontId="22" fillId="0" borderId="0" xfId="0" applyFont="1"/>
    <xf numFmtId="0" fontId="22" fillId="0" borderId="11" xfId="0" applyFont="1" applyBorder="1"/>
    <xf numFmtId="0" fontId="22" fillId="0" borderId="9" xfId="0" applyFont="1" applyBorder="1" applyAlignment="1">
      <alignment horizontal="distributed"/>
    </xf>
    <xf numFmtId="0" fontId="22" fillId="0" borderId="9" xfId="0" applyFont="1" applyBorder="1" applyAlignment="1">
      <alignment vertical="center" wrapText="1"/>
    </xf>
    <xf numFmtId="0" fontId="22" fillId="0" borderId="9" xfId="0" applyFont="1" applyBorder="1" applyAlignment="1">
      <alignment vertical="center"/>
    </xf>
    <xf numFmtId="0" fontId="22" fillId="0" borderId="9" xfId="0" applyFont="1" applyBorder="1"/>
    <xf numFmtId="0" fontId="17" fillId="0" borderId="9" xfId="0" applyFont="1" applyBorder="1" applyAlignment="1">
      <alignment vertical="center" wrapText="1"/>
    </xf>
    <xf numFmtId="0" fontId="26" fillId="0" borderId="18" xfId="0" applyFont="1" applyBorder="1"/>
    <xf numFmtId="0" fontId="26" fillId="0" borderId="0" xfId="0" applyFont="1"/>
    <xf numFmtId="0" fontId="22" fillId="2" borderId="9" xfId="5" applyFont="1" applyFill="1" applyBorder="1" applyAlignment="1">
      <alignment horizontal="left" vertical="center"/>
    </xf>
    <xf numFmtId="0" fontId="22" fillId="2" borderId="9" xfId="0" applyFont="1" applyFill="1" applyBorder="1" applyAlignment="1">
      <alignment horizontal="left" vertical="center" wrapText="1"/>
    </xf>
    <xf numFmtId="0" fontId="24" fillId="0" borderId="0" xfId="0" applyFont="1" applyAlignment="1">
      <alignment vertical="center"/>
    </xf>
    <xf numFmtId="0" fontId="22" fillId="0" borderId="29" xfId="0" applyFont="1" applyBorder="1" applyAlignment="1">
      <alignment horizontal="justify" vertical="center" wrapText="1"/>
    </xf>
    <xf numFmtId="0" fontId="22" fillId="0" borderId="4" xfId="0" applyFont="1" applyBorder="1" applyAlignment="1">
      <alignment horizontal="justify" vertical="center" wrapText="1"/>
    </xf>
    <xf numFmtId="0" fontId="22" fillId="0" borderId="12" xfId="0" applyFont="1" applyBorder="1" applyAlignment="1">
      <alignment horizontal="justify" vertical="center" wrapText="1"/>
    </xf>
    <xf numFmtId="0" fontId="22" fillId="0" borderId="13" xfId="0" applyFont="1" applyBorder="1" applyAlignment="1">
      <alignment horizontal="justify" vertical="center" wrapText="1"/>
    </xf>
    <xf numFmtId="0" fontId="22" fillId="0" borderId="3" xfId="0" applyFont="1" applyBorder="1" applyAlignment="1">
      <alignment horizontal="justify" vertical="center" wrapText="1"/>
    </xf>
    <xf numFmtId="0" fontId="22" fillId="0" borderId="2" xfId="0" applyFont="1" applyBorder="1" applyAlignment="1">
      <alignment horizontal="justify" vertical="center" wrapText="1"/>
    </xf>
    <xf numFmtId="0" fontId="22" fillId="0" borderId="22" xfId="0" applyFont="1" applyBorder="1" applyAlignment="1">
      <alignment horizontal="justify" vertical="center" wrapText="1"/>
    </xf>
    <xf numFmtId="0" fontId="22" fillId="0" borderId="0" xfId="0" applyFont="1" applyAlignment="1">
      <alignment horizontal="justify" vertical="center" wrapText="1"/>
    </xf>
    <xf numFmtId="0" fontId="22" fillId="0" borderId="28" xfId="0" applyFont="1" applyBorder="1" applyAlignment="1">
      <alignment horizontal="justify" vertical="center" wrapText="1"/>
    </xf>
    <xf numFmtId="0" fontId="22" fillId="0" borderId="23" xfId="0" applyFont="1" applyBorder="1" applyAlignment="1">
      <alignment horizontal="justify" vertical="center" wrapText="1"/>
    </xf>
    <xf numFmtId="0" fontId="22" fillId="0" borderId="30" xfId="0" applyFont="1" applyBorder="1" applyAlignment="1">
      <alignment horizontal="justify" vertical="center" wrapText="1"/>
    </xf>
    <xf numFmtId="0" fontId="22" fillId="0" borderId="21" xfId="0" applyFont="1" applyBorder="1" applyAlignment="1">
      <alignment horizontal="justify" vertical="center" wrapText="1"/>
    </xf>
    <xf numFmtId="0" fontId="22" fillId="0" borderId="17" xfId="0" applyFont="1" applyBorder="1" applyAlignment="1">
      <alignment horizontal="justify" vertical="center" wrapText="1"/>
    </xf>
    <xf numFmtId="0" fontId="22" fillId="0" borderId="10" xfId="0" applyFont="1" applyBorder="1" applyAlignment="1">
      <alignment horizontal="justify" vertical="center" wrapText="1"/>
    </xf>
    <xf numFmtId="0" fontId="28" fillId="0" borderId="0" xfId="0" applyFont="1" applyAlignment="1">
      <alignment horizontal="center" wrapText="1"/>
    </xf>
    <xf numFmtId="0" fontId="25" fillId="0" borderId="0" xfId="0" applyFont="1" applyAlignment="1">
      <alignment horizontal="center"/>
    </xf>
    <xf numFmtId="0" fontId="22" fillId="0" borderId="9" xfId="0" applyFont="1" applyBorder="1" applyAlignment="1">
      <alignment horizontal="justify" vertical="center" wrapText="1"/>
    </xf>
    <xf numFmtId="0" fontId="28" fillId="0" borderId="0" xfId="0" applyFont="1" applyAlignment="1">
      <alignment horizontal="center"/>
    </xf>
    <xf numFmtId="0" fontId="17" fillId="0" borderId="9" xfId="0" applyFont="1" applyBorder="1" applyAlignment="1">
      <alignment horizontal="left" vertical="center" wrapText="1"/>
    </xf>
    <xf numFmtId="0" fontId="22" fillId="2" borderId="3" xfId="0" applyFont="1" applyFill="1" applyBorder="1" applyAlignment="1">
      <alignment horizontal="left" wrapText="1"/>
    </xf>
    <xf numFmtId="0" fontId="22" fillId="2" borderId="4" xfId="0" applyFont="1" applyFill="1" applyBorder="1" applyAlignment="1">
      <alignment horizontal="left" wrapText="1"/>
    </xf>
    <xf numFmtId="0" fontId="29" fillId="2" borderId="9"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9" xfId="0" applyFont="1" applyFill="1" applyBorder="1" applyAlignment="1">
      <alignment vertical="center" wrapText="1"/>
    </xf>
    <xf numFmtId="0" fontId="22" fillId="2" borderId="3" xfId="0" applyFont="1" applyFill="1" applyBorder="1" applyAlignment="1">
      <alignment vertical="center" wrapText="1"/>
    </xf>
    <xf numFmtId="0" fontId="22" fillId="2" borderId="4" xfId="0" applyFont="1" applyFill="1" applyBorder="1" applyAlignment="1">
      <alignment vertical="center" wrapText="1"/>
    </xf>
    <xf numFmtId="0" fontId="5" fillId="0" borderId="11" xfId="14" applyFont="1" applyBorder="1" applyAlignment="1">
      <alignment horizontal="left" vertical="center"/>
    </xf>
    <xf numFmtId="0" fontId="5" fillId="0" borderId="0" xfId="14" applyFont="1" applyAlignment="1">
      <alignment horizontal="center" vertical="center"/>
    </xf>
    <xf numFmtId="0" fontId="0" fillId="0" borderId="3" xfId="14" applyFont="1" applyBorder="1" applyAlignment="1">
      <alignment horizontal="center" vertical="center"/>
    </xf>
    <xf numFmtId="0" fontId="0" fillId="0" borderId="2" xfId="14" applyFont="1" applyBorder="1" applyAlignment="1">
      <alignment horizontal="center" vertical="center"/>
    </xf>
    <xf numFmtId="0" fontId="0" fillId="0" borderId="25" xfId="14" applyFont="1" applyBorder="1" applyAlignment="1">
      <alignment horizontal="center" vertical="center"/>
    </xf>
    <xf numFmtId="0" fontId="0" fillId="0" borderId="3" xfId="14" applyFont="1" applyBorder="1" applyAlignment="1">
      <alignment vertical="center"/>
    </xf>
    <xf numFmtId="0" fontId="0" fillId="0" borderId="25" xfId="14" applyFont="1" applyBorder="1" applyAlignment="1">
      <alignment vertical="center"/>
    </xf>
    <xf numFmtId="0" fontId="0" fillId="0" borderId="0" xfId="14" applyFont="1" applyAlignment="1">
      <alignment horizontal="right" vertical="center"/>
    </xf>
    <xf numFmtId="0" fontId="0" fillId="0" borderId="11" xfId="14" applyFont="1" applyBorder="1" applyAlignment="1">
      <alignment horizontal="center" vertical="center"/>
    </xf>
    <xf numFmtId="0" fontId="2" fillId="0" borderId="11" xfId="14" applyBorder="1" applyAlignment="1">
      <alignment horizontal="left" vertical="center"/>
    </xf>
    <xf numFmtId="0" fontId="0" fillId="0" borderId="24" xfId="14" applyFont="1" applyBorder="1" applyAlignment="1">
      <alignment horizontal="center" vertical="center"/>
    </xf>
    <xf numFmtId="0" fontId="0" fillId="0" borderId="0" xfId="14" applyFont="1" applyAlignment="1">
      <alignment horizontal="left"/>
    </xf>
    <xf numFmtId="0" fontId="6" fillId="0" borderId="0" xfId="14" applyFont="1" applyAlignment="1">
      <alignment horizontal="center"/>
    </xf>
    <xf numFmtId="0" fontId="0" fillId="0" borderId="0" xfId="14" applyFont="1" applyAlignment="1">
      <alignment horizontal="center"/>
    </xf>
    <xf numFmtId="0" fontId="14" fillId="0" borderId="0" xfId="14" applyFont="1" applyAlignment="1">
      <alignment horizontal="left"/>
    </xf>
    <xf numFmtId="0" fontId="5" fillId="0" borderId="0" xfId="14" applyFont="1" applyAlignment="1">
      <alignment horizontal="left"/>
    </xf>
    <xf numFmtId="0" fontId="0" fillId="0" borderId="3" xfId="14" applyFont="1" applyBorder="1" applyAlignment="1">
      <alignment horizontal="center"/>
    </xf>
    <xf numFmtId="0" fontId="0" fillId="0" borderId="2" xfId="14" applyFont="1" applyBorder="1" applyAlignment="1">
      <alignment horizontal="center"/>
    </xf>
    <xf numFmtId="0" fontId="0" fillId="0" borderId="4" xfId="14" applyFont="1" applyBorder="1" applyAlignment="1">
      <alignment horizontal="center"/>
    </xf>
    <xf numFmtId="0" fontId="2" fillId="0" borderId="0" xfId="14" applyAlignment="1">
      <alignment horizontal="left"/>
    </xf>
  </cellXfs>
  <cellStyles count="16">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ハイパーリンク" xfId="5" builtinId="8"/>
    <cellStyle name="桁区切り" xfId="6" builtinId="6"/>
    <cellStyle name="桁区切り 2" xfId="7" xr:uid="{00000000-0005-0000-0000-000007000000}"/>
    <cellStyle name="桁区切り 2 2" xfId="8" xr:uid="{00000000-0005-0000-0000-000008000000}"/>
    <cellStyle name="桁区切り 3" xfId="9" xr:uid="{00000000-0005-0000-0000-000009000000}"/>
    <cellStyle name="標準" xfId="0" builtinId="0"/>
    <cellStyle name="標準 2" xfId="10" xr:uid="{00000000-0005-0000-0000-00000B000000}"/>
    <cellStyle name="標準 3" xfId="11" xr:uid="{00000000-0005-0000-0000-00000C000000}"/>
    <cellStyle name="標準 4" xfId="12" xr:uid="{00000000-0005-0000-0000-00000D000000}"/>
    <cellStyle name="標準 5" xfId="13" xr:uid="{00000000-0005-0000-0000-00000E000000}"/>
    <cellStyle name="標準 6" xfId="15" xr:uid="{9FCB5F83-35CE-4556-BBB3-98461914DBF5}"/>
    <cellStyle name="標準_様式ファイル(上程委員会向）" xfId="14" xr:uid="{00000000-0005-0000-0000-000019000000}"/>
  </cellStyles>
  <dxfs count="1">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CCFFFF"/>
        </a:solidFill>
        <a:ln w="9525">
          <a:solidFill>
            <a:srgbClr val="000000"/>
          </a:solidFill>
          <a:round/>
          <a:headEnd/>
          <a:tailEnd/>
        </a:ln>
      </a:spPr>
      <a:bodyPr vertOverflow="clip" wrap="square" lIns="27432" tIns="18288" rIns="0" bIns="0" anchor="t" upright="1"/>
      <a:lstStyle>
        <a:defPPr algn="l" rtl="0">
          <a:lnSpc>
            <a:spcPct val="100000"/>
          </a:lnSpc>
          <a:defRPr sz="1100" b="0" i="0" strike="noStrike" kern="0" spc="0" baseline="0">
            <a:solidFill>
              <a:srgbClr val="000000"/>
            </a:solidFill>
            <a:latin typeface="ＭＳ Ｐゴシック"/>
            <a:ea typeface="ＭＳ Ｐゴシック"/>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pageSetUpPr fitToPage="1"/>
  </sheetPr>
  <dimension ref="A1:F98"/>
  <sheetViews>
    <sheetView tabSelected="1" view="pageBreakPreview" zoomScaleNormal="100" zoomScaleSheetLayoutView="100" workbookViewId="0">
      <selection sqref="A1:C1"/>
    </sheetView>
  </sheetViews>
  <sheetFormatPr defaultColWidth="12.77734375" defaultRowHeight="13.2"/>
  <cols>
    <col min="1" max="1" width="14.21875" style="88" customWidth="1"/>
    <col min="2" max="2" width="28" style="88" customWidth="1"/>
    <col min="3" max="3" width="69.88671875" style="101" customWidth="1"/>
    <col min="4" max="4" width="19.33203125" style="88" customWidth="1"/>
    <col min="5" max="6" width="12.77734375" style="88"/>
    <col min="7" max="7" width="2.109375" style="88" bestFit="1" customWidth="1"/>
    <col min="8" max="16384" width="12.77734375" style="88"/>
  </cols>
  <sheetData>
    <row r="1" spans="1:6" ht="21">
      <c r="A1" s="122" t="s">
        <v>243</v>
      </c>
      <c r="B1" s="122"/>
      <c r="C1" s="122"/>
    </row>
    <row r="3" spans="1:6" ht="13.5" customHeight="1">
      <c r="A3" s="124" t="s">
        <v>72</v>
      </c>
      <c r="B3" s="125"/>
      <c r="C3" s="126"/>
      <c r="D3" s="126"/>
      <c r="F3" s="89"/>
    </row>
    <row r="4" spans="1:6">
      <c r="A4" s="102" t="s">
        <v>54</v>
      </c>
      <c r="B4" s="103" t="s">
        <v>194</v>
      </c>
      <c r="C4" s="127"/>
      <c r="D4" s="127"/>
    </row>
    <row r="5" spans="1:6" ht="27" customHeight="1">
      <c r="A5" s="102" t="s">
        <v>39</v>
      </c>
      <c r="B5" s="103" t="s">
        <v>57</v>
      </c>
      <c r="C5" s="128" t="s">
        <v>193</v>
      </c>
      <c r="D5" s="128"/>
    </row>
    <row r="6" spans="1:6" ht="27" customHeight="1">
      <c r="A6" s="102" t="s">
        <v>55</v>
      </c>
      <c r="B6" s="103" t="s">
        <v>53</v>
      </c>
      <c r="C6" s="128" t="s">
        <v>192</v>
      </c>
      <c r="D6" s="128"/>
    </row>
    <row r="7" spans="1:6">
      <c r="A7" s="102" t="s">
        <v>56</v>
      </c>
      <c r="B7" s="103" t="s">
        <v>76</v>
      </c>
      <c r="C7" s="129" t="s">
        <v>234</v>
      </c>
      <c r="D7" s="130"/>
    </row>
    <row r="8" spans="1:6">
      <c r="A8" s="90"/>
      <c r="B8" s="91"/>
      <c r="C8" s="92"/>
    </row>
    <row r="9" spans="1:6" ht="30" customHeight="1">
      <c r="A9" s="119" t="s">
        <v>244</v>
      </c>
      <c r="B9" s="120"/>
      <c r="C9" s="120"/>
      <c r="D9" s="93"/>
    </row>
    <row r="10" spans="1:6" ht="13.5" customHeight="1">
      <c r="A10" s="75" t="s">
        <v>109</v>
      </c>
      <c r="B10" s="94"/>
      <c r="C10" s="93"/>
      <c r="D10" s="93"/>
    </row>
    <row r="11" spans="1:6">
      <c r="A11" s="76" t="s">
        <v>59</v>
      </c>
      <c r="B11" s="77" t="s">
        <v>83</v>
      </c>
      <c r="C11" s="76" t="s">
        <v>177</v>
      </c>
      <c r="D11" s="95" t="s">
        <v>195</v>
      </c>
    </row>
    <row r="12" spans="1:6">
      <c r="A12" s="78" t="s">
        <v>84</v>
      </c>
      <c r="B12" s="79"/>
      <c r="C12" s="80" t="s">
        <v>196</v>
      </c>
      <c r="D12" s="96" t="s">
        <v>197</v>
      </c>
    </row>
    <row r="13" spans="1:6">
      <c r="A13" s="78" t="s">
        <v>85</v>
      </c>
      <c r="B13" s="79"/>
      <c r="C13" s="78" t="s">
        <v>86</v>
      </c>
      <c r="D13" s="96" t="s">
        <v>198</v>
      </c>
    </row>
    <row r="14" spans="1:6">
      <c r="A14" s="115" t="s">
        <v>87</v>
      </c>
      <c r="B14" s="78" t="s">
        <v>88</v>
      </c>
      <c r="C14" s="78" t="s">
        <v>89</v>
      </c>
      <c r="D14" s="96" t="s">
        <v>198</v>
      </c>
    </row>
    <row r="15" spans="1:6">
      <c r="A15" s="113"/>
      <c r="B15" s="78" t="s">
        <v>90</v>
      </c>
      <c r="C15" s="78" t="s">
        <v>91</v>
      </c>
      <c r="D15" s="96" t="s">
        <v>198</v>
      </c>
    </row>
    <row r="16" spans="1:6">
      <c r="A16" s="114"/>
      <c r="B16" s="78" t="s">
        <v>92</v>
      </c>
      <c r="C16" s="78" t="s">
        <v>93</v>
      </c>
      <c r="D16" s="96" t="s">
        <v>198</v>
      </c>
    </row>
    <row r="17" spans="1:4">
      <c r="A17" s="116" t="s">
        <v>94</v>
      </c>
      <c r="B17" s="78" t="s">
        <v>95</v>
      </c>
      <c r="C17" s="78" t="s">
        <v>96</v>
      </c>
      <c r="D17" s="96" t="s">
        <v>199</v>
      </c>
    </row>
    <row r="18" spans="1:4">
      <c r="A18" s="117"/>
      <c r="B18" s="82" t="s">
        <v>97</v>
      </c>
      <c r="C18" s="78" t="s">
        <v>98</v>
      </c>
      <c r="D18" s="96" t="s">
        <v>200</v>
      </c>
    </row>
    <row r="19" spans="1:4">
      <c r="A19" s="118"/>
      <c r="B19" s="81" t="s">
        <v>99</v>
      </c>
      <c r="C19" s="78" t="s">
        <v>100</v>
      </c>
      <c r="D19" s="96" t="s">
        <v>200</v>
      </c>
    </row>
    <row r="20" spans="1:4">
      <c r="A20" s="78" t="s">
        <v>101</v>
      </c>
      <c r="B20" s="81"/>
      <c r="C20" s="78" t="s">
        <v>102</v>
      </c>
      <c r="D20" s="96" t="s">
        <v>197</v>
      </c>
    </row>
    <row r="21" spans="1:4">
      <c r="A21" s="78" t="s">
        <v>103</v>
      </c>
      <c r="B21" s="78"/>
      <c r="C21" s="78" t="s">
        <v>104</v>
      </c>
      <c r="D21" s="96" t="s">
        <v>197</v>
      </c>
    </row>
    <row r="22" spans="1:4">
      <c r="A22" s="78" t="s">
        <v>105</v>
      </c>
      <c r="B22" s="84"/>
      <c r="C22" s="78" t="s">
        <v>106</v>
      </c>
      <c r="D22" s="96" t="s">
        <v>201</v>
      </c>
    </row>
    <row r="23" spans="1:4">
      <c r="A23" s="78" t="s">
        <v>107</v>
      </c>
      <c r="B23" s="78"/>
      <c r="C23" s="78" t="s">
        <v>108</v>
      </c>
      <c r="D23" s="97" t="s">
        <v>202</v>
      </c>
    </row>
    <row r="24" spans="1:4">
      <c r="A24" s="75" t="s">
        <v>110</v>
      </c>
      <c r="B24" s="94"/>
      <c r="C24" s="94"/>
      <c r="D24" s="93"/>
    </row>
    <row r="25" spans="1:4">
      <c r="A25" s="76" t="s">
        <v>59</v>
      </c>
      <c r="B25" s="76" t="s">
        <v>83</v>
      </c>
      <c r="C25" s="76" t="s">
        <v>177</v>
      </c>
      <c r="D25" s="98" t="s">
        <v>203</v>
      </c>
    </row>
    <row r="26" spans="1:4">
      <c r="A26" s="121" t="s">
        <v>62</v>
      </c>
      <c r="B26" s="78" t="s">
        <v>111</v>
      </c>
      <c r="C26" s="78" t="s">
        <v>173</v>
      </c>
      <c r="D26" s="98" t="s">
        <v>204</v>
      </c>
    </row>
    <row r="27" spans="1:4">
      <c r="A27" s="121"/>
      <c r="B27" s="78" t="s">
        <v>112</v>
      </c>
      <c r="C27" s="78" t="s">
        <v>113</v>
      </c>
      <c r="D27" s="98" t="s">
        <v>204</v>
      </c>
    </row>
    <row r="28" spans="1:4">
      <c r="A28" s="121"/>
      <c r="B28" s="78" t="s">
        <v>114</v>
      </c>
      <c r="C28" s="78" t="s">
        <v>115</v>
      </c>
      <c r="D28" s="98" t="s">
        <v>204</v>
      </c>
    </row>
    <row r="29" spans="1:4">
      <c r="A29" s="121"/>
      <c r="B29" s="78" t="s">
        <v>116</v>
      </c>
      <c r="C29" s="78" t="s">
        <v>117</v>
      </c>
      <c r="D29" s="98" t="s">
        <v>204</v>
      </c>
    </row>
    <row r="30" spans="1:4">
      <c r="A30" s="121"/>
      <c r="B30" s="78" t="s">
        <v>118</v>
      </c>
      <c r="C30" s="78" t="s">
        <v>119</v>
      </c>
      <c r="D30" s="98" t="s">
        <v>205</v>
      </c>
    </row>
    <row r="31" spans="1:4">
      <c r="A31" s="121"/>
      <c r="B31" s="78" t="s">
        <v>120</v>
      </c>
      <c r="C31" s="78" t="s">
        <v>121</v>
      </c>
      <c r="D31" s="98" t="s">
        <v>204</v>
      </c>
    </row>
    <row r="32" spans="1:4">
      <c r="A32" s="121" t="s">
        <v>235</v>
      </c>
      <c r="B32" s="78" t="s">
        <v>122</v>
      </c>
      <c r="C32" s="78" t="s">
        <v>123</v>
      </c>
      <c r="D32" s="98" t="s">
        <v>204</v>
      </c>
    </row>
    <row r="33" spans="1:4">
      <c r="A33" s="121"/>
      <c r="B33" s="78" t="s">
        <v>124</v>
      </c>
      <c r="C33" s="78" t="s">
        <v>125</v>
      </c>
      <c r="D33" s="98" t="s">
        <v>204</v>
      </c>
    </row>
    <row r="34" spans="1:4">
      <c r="A34" s="121"/>
      <c r="B34" s="78" t="s">
        <v>118</v>
      </c>
      <c r="C34" s="78" t="s">
        <v>183</v>
      </c>
      <c r="D34" s="98" t="s">
        <v>206</v>
      </c>
    </row>
    <row r="35" spans="1:4">
      <c r="A35" s="121"/>
      <c r="B35" s="78" t="s">
        <v>65</v>
      </c>
      <c r="C35" s="78" t="s">
        <v>126</v>
      </c>
      <c r="D35" s="98" t="s">
        <v>204</v>
      </c>
    </row>
    <row r="36" spans="1:4">
      <c r="A36" s="121"/>
      <c r="B36" s="78" t="s">
        <v>127</v>
      </c>
      <c r="C36" s="78" t="s">
        <v>128</v>
      </c>
      <c r="D36" s="98" t="s">
        <v>204</v>
      </c>
    </row>
    <row r="37" spans="1:4">
      <c r="A37" s="121"/>
      <c r="B37" s="78" t="s">
        <v>120</v>
      </c>
      <c r="C37" s="78" t="s">
        <v>129</v>
      </c>
      <c r="D37" s="98" t="s">
        <v>207</v>
      </c>
    </row>
    <row r="38" spans="1:4">
      <c r="A38" s="121" t="s">
        <v>236</v>
      </c>
      <c r="B38" s="78" t="s">
        <v>111</v>
      </c>
      <c r="C38" s="78" t="s">
        <v>130</v>
      </c>
      <c r="D38" s="98" t="s">
        <v>204</v>
      </c>
    </row>
    <row r="39" spans="1:4">
      <c r="A39" s="121"/>
      <c r="B39" s="78" t="s">
        <v>112</v>
      </c>
      <c r="C39" s="78" t="s">
        <v>131</v>
      </c>
      <c r="D39" s="98" t="s">
        <v>204</v>
      </c>
    </row>
    <row r="40" spans="1:4">
      <c r="A40" s="121"/>
      <c r="B40" s="78" t="s">
        <v>114</v>
      </c>
      <c r="C40" s="78" t="s">
        <v>132</v>
      </c>
      <c r="D40" s="99" t="s">
        <v>204</v>
      </c>
    </row>
    <row r="41" spans="1:4">
      <c r="A41" s="121"/>
      <c r="B41" s="78" t="s">
        <v>116</v>
      </c>
      <c r="C41" s="78" t="s">
        <v>133</v>
      </c>
      <c r="D41" s="99" t="s">
        <v>204</v>
      </c>
    </row>
    <row r="42" spans="1:4">
      <c r="A42" s="121"/>
      <c r="B42" s="78" t="s">
        <v>118</v>
      </c>
      <c r="C42" s="78" t="s">
        <v>134</v>
      </c>
      <c r="D42" s="99" t="s">
        <v>208</v>
      </c>
    </row>
    <row r="43" spans="1:4">
      <c r="A43" s="121"/>
      <c r="B43" s="78" t="s">
        <v>65</v>
      </c>
      <c r="C43" s="78" t="s">
        <v>135</v>
      </c>
      <c r="D43" s="99" t="s">
        <v>209</v>
      </c>
    </row>
    <row r="44" spans="1:4">
      <c r="A44" s="121"/>
      <c r="B44" s="78" t="s">
        <v>66</v>
      </c>
      <c r="C44" s="78" t="s">
        <v>136</v>
      </c>
      <c r="D44" s="99" t="s">
        <v>210</v>
      </c>
    </row>
    <row r="45" spans="1:4">
      <c r="A45" s="121"/>
      <c r="B45" s="78" t="s">
        <v>120</v>
      </c>
      <c r="C45" s="78" t="s">
        <v>137</v>
      </c>
      <c r="D45" s="99" t="s">
        <v>211</v>
      </c>
    </row>
    <row r="46" spans="1:4">
      <c r="A46" s="121"/>
      <c r="B46" s="78" t="s">
        <v>67</v>
      </c>
      <c r="C46" s="78" t="s">
        <v>138</v>
      </c>
      <c r="D46" s="99" t="s">
        <v>212</v>
      </c>
    </row>
    <row r="47" spans="1:4">
      <c r="A47" s="121"/>
      <c r="B47" s="78" t="s">
        <v>127</v>
      </c>
      <c r="C47" s="78" t="s">
        <v>174</v>
      </c>
      <c r="D47" s="99" t="s">
        <v>204</v>
      </c>
    </row>
    <row r="48" spans="1:4">
      <c r="A48" s="121"/>
      <c r="B48" s="78" t="s">
        <v>64</v>
      </c>
      <c r="C48" s="78" t="s">
        <v>139</v>
      </c>
      <c r="D48" s="99" t="s">
        <v>204</v>
      </c>
    </row>
    <row r="49" spans="1:4" ht="13.35" customHeight="1">
      <c r="A49" s="117" t="s">
        <v>237</v>
      </c>
      <c r="B49" s="83" t="s">
        <v>140</v>
      </c>
      <c r="C49" s="78" t="s">
        <v>141</v>
      </c>
      <c r="D49" s="99" t="s">
        <v>204</v>
      </c>
    </row>
    <row r="50" spans="1:4">
      <c r="A50" s="117"/>
      <c r="B50" s="78" t="s">
        <v>142</v>
      </c>
      <c r="C50" s="78" t="s">
        <v>143</v>
      </c>
      <c r="D50" s="99" t="s">
        <v>213</v>
      </c>
    </row>
    <row r="51" spans="1:4">
      <c r="A51" s="117"/>
      <c r="B51" s="86" t="s">
        <v>144</v>
      </c>
      <c r="C51" s="78" t="s">
        <v>145</v>
      </c>
      <c r="D51" s="123" t="s">
        <v>204</v>
      </c>
    </row>
    <row r="52" spans="1:4">
      <c r="A52" s="117"/>
      <c r="B52" s="86" t="s">
        <v>146</v>
      </c>
      <c r="C52" s="78" t="s">
        <v>147</v>
      </c>
      <c r="D52" s="123"/>
    </row>
    <row r="53" spans="1:4">
      <c r="A53" s="117"/>
      <c r="B53" s="86" t="s">
        <v>66</v>
      </c>
      <c r="C53" s="78" t="s">
        <v>148</v>
      </c>
      <c r="D53" s="99" t="s">
        <v>210</v>
      </c>
    </row>
    <row r="54" spans="1:4">
      <c r="A54" s="118"/>
      <c r="B54" s="86" t="s">
        <v>120</v>
      </c>
      <c r="C54" s="78" t="s">
        <v>149</v>
      </c>
      <c r="D54" s="99" t="s">
        <v>211</v>
      </c>
    </row>
    <row r="55" spans="1:4">
      <c r="A55" s="113" t="s">
        <v>238</v>
      </c>
      <c r="B55" s="84" t="s">
        <v>111</v>
      </c>
      <c r="C55" s="78" t="s">
        <v>150</v>
      </c>
      <c r="D55" s="99" t="s">
        <v>204</v>
      </c>
    </row>
    <row r="56" spans="1:4">
      <c r="A56" s="113"/>
      <c r="B56" s="78" t="s">
        <v>112</v>
      </c>
      <c r="C56" s="78" t="s">
        <v>151</v>
      </c>
      <c r="D56" s="99" t="s">
        <v>204</v>
      </c>
    </row>
    <row r="57" spans="1:4">
      <c r="A57" s="113"/>
      <c r="B57" s="78" t="s">
        <v>114</v>
      </c>
      <c r="C57" s="78" t="s">
        <v>152</v>
      </c>
      <c r="D57" s="99" t="s">
        <v>204</v>
      </c>
    </row>
    <row r="58" spans="1:4">
      <c r="A58" s="113"/>
      <c r="B58" s="78" t="s">
        <v>153</v>
      </c>
      <c r="C58" s="78" t="s">
        <v>154</v>
      </c>
      <c r="D58" s="99" t="s">
        <v>204</v>
      </c>
    </row>
    <row r="59" spans="1:4">
      <c r="A59" s="113"/>
      <c r="B59" s="78" t="s">
        <v>155</v>
      </c>
      <c r="C59" s="78" t="s">
        <v>184</v>
      </c>
      <c r="D59" s="99" t="s">
        <v>204</v>
      </c>
    </row>
    <row r="60" spans="1:4">
      <c r="A60" s="113"/>
      <c r="B60" s="81" t="s">
        <v>156</v>
      </c>
      <c r="C60" s="78" t="s">
        <v>179</v>
      </c>
      <c r="D60" s="99" t="s">
        <v>204</v>
      </c>
    </row>
    <row r="61" spans="1:4">
      <c r="A61" s="113"/>
      <c r="B61" s="78" t="s">
        <v>67</v>
      </c>
      <c r="C61" s="78" t="s">
        <v>157</v>
      </c>
      <c r="D61" s="99" t="s">
        <v>212</v>
      </c>
    </row>
    <row r="62" spans="1:4">
      <c r="A62" s="114"/>
      <c r="B62" s="78" t="s">
        <v>127</v>
      </c>
      <c r="C62" s="78" t="s">
        <v>175</v>
      </c>
      <c r="D62" s="99" t="s">
        <v>204</v>
      </c>
    </row>
    <row r="63" spans="1:4">
      <c r="A63" s="115" t="s">
        <v>239</v>
      </c>
      <c r="B63" s="78" t="s">
        <v>158</v>
      </c>
      <c r="C63" s="78" t="s">
        <v>159</v>
      </c>
      <c r="D63" s="99" t="s">
        <v>204</v>
      </c>
    </row>
    <row r="64" spans="1:4">
      <c r="A64" s="113"/>
      <c r="B64" s="78" t="s">
        <v>155</v>
      </c>
      <c r="C64" s="78" t="s">
        <v>185</v>
      </c>
      <c r="D64" s="99" t="s">
        <v>204</v>
      </c>
    </row>
    <row r="65" spans="1:4">
      <c r="A65" s="113"/>
      <c r="B65" s="78" t="s">
        <v>114</v>
      </c>
      <c r="C65" s="78" t="s">
        <v>160</v>
      </c>
      <c r="D65" s="99" t="s">
        <v>204</v>
      </c>
    </row>
    <row r="66" spans="1:4">
      <c r="A66" s="113"/>
      <c r="B66" s="78" t="s">
        <v>67</v>
      </c>
      <c r="C66" s="78" t="s">
        <v>161</v>
      </c>
      <c r="D66" s="99" t="s">
        <v>212</v>
      </c>
    </row>
    <row r="67" spans="1:4">
      <c r="A67" s="114"/>
      <c r="B67" s="78" t="s">
        <v>127</v>
      </c>
      <c r="C67" s="78" t="s">
        <v>186</v>
      </c>
      <c r="D67" s="99" t="s">
        <v>204</v>
      </c>
    </row>
    <row r="68" spans="1:4" ht="15.6" customHeight="1">
      <c r="A68" s="116" t="s">
        <v>240</v>
      </c>
      <c r="B68" s="78" t="s">
        <v>155</v>
      </c>
      <c r="C68" s="78" t="s">
        <v>162</v>
      </c>
      <c r="D68" s="99" t="s">
        <v>204</v>
      </c>
    </row>
    <row r="69" spans="1:4">
      <c r="A69" s="117"/>
      <c r="B69" s="78" t="s">
        <v>114</v>
      </c>
      <c r="C69" s="78" t="s">
        <v>163</v>
      </c>
      <c r="D69" s="99" t="s">
        <v>204</v>
      </c>
    </row>
    <row r="70" spans="1:4">
      <c r="A70" s="117"/>
      <c r="B70" s="83" t="s">
        <v>67</v>
      </c>
      <c r="C70" s="83" t="s">
        <v>164</v>
      </c>
      <c r="D70" s="99" t="s">
        <v>212</v>
      </c>
    </row>
    <row r="71" spans="1:4">
      <c r="A71" s="118"/>
      <c r="B71" s="83" t="s">
        <v>127</v>
      </c>
      <c r="C71" s="83" t="s">
        <v>187</v>
      </c>
      <c r="D71" s="99" t="s">
        <v>204</v>
      </c>
    </row>
    <row r="72" spans="1:4">
      <c r="A72" s="117" t="s">
        <v>241</v>
      </c>
      <c r="B72" s="84" t="s">
        <v>165</v>
      </c>
      <c r="C72" s="82" t="s">
        <v>166</v>
      </c>
      <c r="D72" s="99" t="s">
        <v>214</v>
      </c>
    </row>
    <row r="73" spans="1:4">
      <c r="A73" s="118"/>
      <c r="B73" s="86" t="s">
        <v>142</v>
      </c>
      <c r="C73" s="83" t="s">
        <v>167</v>
      </c>
      <c r="D73" s="99" t="s">
        <v>215</v>
      </c>
    </row>
    <row r="74" spans="1:4">
      <c r="A74" s="111" t="s">
        <v>242</v>
      </c>
      <c r="B74" s="83" t="s">
        <v>144</v>
      </c>
      <c r="C74" s="82" t="s">
        <v>188</v>
      </c>
      <c r="D74" s="99" t="s">
        <v>209</v>
      </c>
    </row>
    <row r="75" spans="1:4">
      <c r="A75" s="111"/>
      <c r="B75" s="78" t="s">
        <v>146</v>
      </c>
      <c r="C75" s="78" t="s">
        <v>189</v>
      </c>
      <c r="D75" s="99" t="s">
        <v>209</v>
      </c>
    </row>
    <row r="76" spans="1:4">
      <c r="A76" s="111"/>
      <c r="B76" s="78" t="s">
        <v>168</v>
      </c>
      <c r="C76" s="78" t="s">
        <v>190</v>
      </c>
      <c r="D76" s="99" t="s">
        <v>209</v>
      </c>
    </row>
    <row r="77" spans="1:4">
      <c r="A77" s="105" t="s">
        <v>169</v>
      </c>
      <c r="B77" s="106"/>
      <c r="C77" s="78" t="s">
        <v>170</v>
      </c>
      <c r="D77" s="99" t="s">
        <v>213</v>
      </c>
    </row>
    <row r="78" spans="1:4">
      <c r="A78" s="111" t="s">
        <v>66</v>
      </c>
      <c r="B78" s="112"/>
      <c r="C78" s="80" t="s">
        <v>171</v>
      </c>
      <c r="D78" s="99" t="s">
        <v>210</v>
      </c>
    </row>
    <row r="79" spans="1:4">
      <c r="A79" s="105" t="s">
        <v>67</v>
      </c>
      <c r="B79" s="106"/>
      <c r="C79" s="78" t="s">
        <v>172</v>
      </c>
      <c r="D79" s="99" t="s">
        <v>212</v>
      </c>
    </row>
    <row r="80" spans="1:4">
      <c r="A80" s="107" t="s">
        <v>68</v>
      </c>
      <c r="B80" s="108"/>
      <c r="C80" s="87" t="s">
        <v>176</v>
      </c>
      <c r="D80" s="99" t="s">
        <v>216</v>
      </c>
    </row>
    <row r="81" spans="1:4" ht="21" customHeight="1">
      <c r="A81" s="109" t="s">
        <v>69</v>
      </c>
      <c r="B81" s="110"/>
      <c r="C81" s="80" t="s">
        <v>217</v>
      </c>
      <c r="D81" s="99"/>
    </row>
    <row r="82" spans="1:4">
      <c r="C82" s="100"/>
    </row>
    <row r="83" spans="1:4">
      <c r="A83" s="104" t="s">
        <v>218</v>
      </c>
    </row>
    <row r="84" spans="1:4">
      <c r="A84" s="104" t="s">
        <v>219</v>
      </c>
    </row>
    <row r="85" spans="1:4">
      <c r="A85" s="104" t="s">
        <v>220</v>
      </c>
    </row>
    <row r="86" spans="1:4">
      <c r="A86" s="104" t="s">
        <v>221</v>
      </c>
    </row>
    <row r="87" spans="1:4">
      <c r="A87" s="104" t="s">
        <v>222</v>
      </c>
    </row>
    <row r="88" spans="1:4">
      <c r="A88" s="104" t="s">
        <v>223</v>
      </c>
    </row>
    <row r="89" spans="1:4">
      <c r="A89" s="104" t="s">
        <v>224</v>
      </c>
    </row>
    <row r="90" spans="1:4">
      <c r="A90" s="104" t="s">
        <v>225</v>
      </c>
    </row>
    <row r="91" spans="1:4">
      <c r="A91" s="104" t="s">
        <v>226</v>
      </c>
    </row>
    <row r="92" spans="1:4">
      <c r="A92" s="104" t="s">
        <v>227</v>
      </c>
    </row>
    <row r="93" spans="1:4">
      <c r="A93" s="85" t="s">
        <v>228</v>
      </c>
    </row>
    <row r="94" spans="1:4">
      <c r="A94" s="104" t="s">
        <v>229</v>
      </c>
    </row>
    <row r="95" spans="1:4">
      <c r="A95" s="104" t="s">
        <v>230</v>
      </c>
    </row>
    <row r="96" spans="1:4">
      <c r="A96" s="104" t="s">
        <v>231</v>
      </c>
    </row>
    <row r="97" spans="1:1">
      <c r="A97" s="85" t="s">
        <v>232</v>
      </c>
    </row>
    <row r="98" spans="1:1">
      <c r="A98" s="93" t="s">
        <v>233</v>
      </c>
    </row>
  </sheetData>
  <mergeCells count="25">
    <mergeCell ref="A1:C1"/>
    <mergeCell ref="D51:D52"/>
    <mergeCell ref="A14:A16"/>
    <mergeCell ref="A17:A19"/>
    <mergeCell ref="A3:B3"/>
    <mergeCell ref="C3:D3"/>
    <mergeCell ref="C4:D4"/>
    <mergeCell ref="C5:D5"/>
    <mergeCell ref="C6:D6"/>
    <mergeCell ref="C7:D7"/>
    <mergeCell ref="A55:A62"/>
    <mergeCell ref="A63:A67"/>
    <mergeCell ref="A68:A71"/>
    <mergeCell ref="A72:A73"/>
    <mergeCell ref="A9:C9"/>
    <mergeCell ref="A26:A31"/>
    <mergeCell ref="A32:A37"/>
    <mergeCell ref="A38:A48"/>
    <mergeCell ref="A49:A54"/>
    <mergeCell ref="A79:B79"/>
    <mergeCell ref="A80:B80"/>
    <mergeCell ref="A81:B81"/>
    <mergeCell ref="A74:A76"/>
    <mergeCell ref="A77:B77"/>
    <mergeCell ref="A78:B78"/>
  </mergeCells>
  <phoneticPr fontId="3"/>
  <pageMargins left="0.11811023622047245" right="0.11811023622047245" top="0.19685039370078741" bottom="0.15748031496062992" header="0.31496062992125984" footer="0.31496062992125984"/>
  <pageSetup paperSize="9" scale="78"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pageSetUpPr fitToPage="1"/>
  </sheetPr>
  <dimension ref="A1:G39"/>
  <sheetViews>
    <sheetView view="pageBreakPreview" zoomScaleNormal="100" zoomScaleSheetLayoutView="100" workbookViewId="0">
      <selection activeCell="B4" sqref="B4:E4"/>
    </sheetView>
  </sheetViews>
  <sheetFormatPr defaultColWidth="9" defaultRowHeight="13.2"/>
  <cols>
    <col min="1" max="1" width="3.77734375" style="1" customWidth="1"/>
    <col min="2" max="2" width="18.77734375" style="1" customWidth="1"/>
    <col min="3" max="6" width="15.77734375" style="1" customWidth="1"/>
    <col min="7" max="16384" width="9" style="1"/>
  </cols>
  <sheetData>
    <row r="1" spans="1:7" ht="21">
      <c r="A1" s="43"/>
      <c r="B1" s="2"/>
      <c r="C1" s="2"/>
      <c r="D1" s="2"/>
      <c r="E1" s="2"/>
      <c r="F1" s="3" t="s">
        <v>80</v>
      </c>
      <c r="G1" s="2"/>
    </row>
    <row r="2" spans="1:7" ht="14.4">
      <c r="A2" s="132" t="s">
        <v>82</v>
      </c>
      <c r="B2" s="132"/>
      <c r="C2" s="132"/>
      <c r="D2" s="132"/>
      <c r="E2" s="132"/>
      <c r="F2" s="132"/>
      <c r="G2" s="2"/>
    </row>
    <row r="3" spans="1:7" ht="14.4">
      <c r="A3" s="2"/>
      <c r="B3" s="19"/>
      <c r="C3" s="19"/>
      <c r="D3" s="19"/>
      <c r="E3" s="19"/>
      <c r="F3" s="2"/>
      <c r="G3" s="2"/>
    </row>
    <row r="4" spans="1:7" ht="14.4">
      <c r="A4" s="2"/>
      <c r="B4" s="131" t="s">
        <v>74</v>
      </c>
      <c r="C4" s="131"/>
      <c r="D4" s="131"/>
      <c r="E4" s="131"/>
      <c r="F4" s="2"/>
      <c r="G4" s="2"/>
    </row>
    <row r="5" spans="1:7">
      <c r="A5" s="2"/>
      <c r="B5" s="2"/>
      <c r="C5" s="2"/>
      <c r="D5" s="2"/>
      <c r="E5" s="2"/>
      <c r="F5" s="3" t="s">
        <v>70</v>
      </c>
      <c r="G5" s="2"/>
    </row>
    <row r="6" spans="1:7" ht="20.100000000000001" customHeight="1">
      <c r="A6" s="20"/>
      <c r="B6" s="21" t="s">
        <v>0</v>
      </c>
      <c r="C6" s="21" t="s">
        <v>1</v>
      </c>
      <c r="D6" s="21" t="s">
        <v>2</v>
      </c>
      <c r="E6" s="21" t="s">
        <v>3</v>
      </c>
      <c r="F6" s="21" t="s">
        <v>4</v>
      </c>
      <c r="G6" s="2"/>
    </row>
    <row r="7" spans="1:7" ht="20.100000000000001" customHeight="1">
      <c r="A7" s="22"/>
      <c r="B7" s="23" t="s">
        <v>40</v>
      </c>
      <c r="C7" s="24"/>
      <c r="D7" s="24"/>
      <c r="E7" s="24"/>
      <c r="F7" s="25"/>
      <c r="G7" s="2"/>
    </row>
    <row r="8" spans="1:7" ht="20.100000000000001" customHeight="1">
      <c r="A8" s="15">
        <v>1</v>
      </c>
      <c r="B8" s="26" t="s">
        <v>42</v>
      </c>
      <c r="C8" s="18">
        <f>IFERROR(VLOOKUP(B8,'収益・費用明細書(様式3)'!$D$6:$G$15,4,FALSE),0)</f>
        <v>0</v>
      </c>
      <c r="D8" s="18">
        <v>0</v>
      </c>
      <c r="E8" s="18">
        <v>0</v>
      </c>
      <c r="F8" s="11"/>
      <c r="G8" s="2"/>
    </row>
    <row r="9" spans="1:7" ht="20.100000000000001" customHeight="1">
      <c r="A9" s="15">
        <v>2</v>
      </c>
      <c r="B9" s="26" t="s">
        <v>44</v>
      </c>
      <c r="C9" s="18">
        <f>IFERROR(VLOOKUP(B9,'収益・費用明細書(様式3)'!$D$6:$G$15,4,FALSE),0)</f>
        <v>0</v>
      </c>
      <c r="D9" s="18">
        <v>0</v>
      </c>
      <c r="E9" s="18">
        <v>0</v>
      </c>
      <c r="F9" s="11"/>
      <c r="G9" s="2"/>
    </row>
    <row r="10" spans="1:7" ht="20.100000000000001" customHeight="1">
      <c r="A10" s="15">
        <v>3</v>
      </c>
      <c r="B10" s="26" t="s">
        <v>43</v>
      </c>
      <c r="C10" s="18">
        <f>IFERROR(VLOOKUP(B10,'収益・費用明細書(様式3)'!$D$6:$G$15,4,FALSE),0)</f>
        <v>0</v>
      </c>
      <c r="D10" s="18">
        <v>0</v>
      </c>
      <c r="E10" s="18">
        <v>0</v>
      </c>
      <c r="F10" s="11"/>
      <c r="G10" s="2"/>
    </row>
    <row r="11" spans="1:7" ht="20.100000000000001" customHeight="1">
      <c r="A11" s="15">
        <v>4</v>
      </c>
      <c r="B11" s="26" t="s">
        <v>45</v>
      </c>
      <c r="C11" s="18">
        <f>IFERROR(VLOOKUP(B11,'収益・費用明細書(様式3)'!$D$6:$G$15,4,FALSE),0)</f>
        <v>0</v>
      </c>
      <c r="D11" s="18">
        <v>0</v>
      </c>
      <c r="E11" s="18">
        <v>0</v>
      </c>
      <c r="F11" s="11"/>
      <c r="G11" s="2"/>
    </row>
    <row r="12" spans="1:7" ht="20.100000000000001" customHeight="1">
      <c r="A12" s="15">
        <v>5</v>
      </c>
      <c r="B12" s="26" t="s">
        <v>46</v>
      </c>
      <c r="C12" s="18">
        <f>IFERROR(VLOOKUP(B12,'収益・費用明細書(様式3)'!$D$6:$G$15,4,FALSE),0)</f>
        <v>0</v>
      </c>
      <c r="D12" s="18">
        <v>0</v>
      </c>
      <c r="E12" s="18">
        <v>0</v>
      </c>
      <c r="F12" s="11"/>
      <c r="G12" s="2"/>
    </row>
    <row r="13" spans="1:7" ht="20.100000000000001" customHeight="1">
      <c r="A13" s="15">
        <v>6</v>
      </c>
      <c r="B13" s="26" t="s">
        <v>47</v>
      </c>
      <c r="C13" s="18">
        <f>IFERROR(VLOOKUP(B13,'収益・費用明細書(様式3)'!$D$6:$G$15,4,FALSE),0)</f>
        <v>0</v>
      </c>
      <c r="D13" s="18">
        <v>0</v>
      </c>
      <c r="E13" s="18">
        <v>0</v>
      </c>
      <c r="F13" s="11"/>
      <c r="G13" s="2"/>
    </row>
    <row r="14" spans="1:7" ht="20.100000000000001" customHeight="1">
      <c r="A14" s="15">
        <v>7</v>
      </c>
      <c r="B14" s="26" t="s">
        <v>51</v>
      </c>
      <c r="C14" s="18">
        <f>IFERROR(VLOOKUP(B14,'収益・費用明細書(様式3)'!$D$6:$G$15,4,FALSE),0)</f>
        <v>0</v>
      </c>
      <c r="D14" s="18">
        <v>0</v>
      </c>
      <c r="E14" s="18">
        <v>0</v>
      </c>
      <c r="F14" s="11"/>
      <c r="G14" s="2"/>
    </row>
    <row r="15" spans="1:7" ht="20.100000000000001" customHeight="1">
      <c r="A15" s="38">
        <v>8</v>
      </c>
      <c r="B15" s="39" t="s">
        <v>48</v>
      </c>
      <c r="C15" s="18">
        <f>IFERROR(VLOOKUP(B15,'収益・費用明細書(様式3)'!$D$6:$G$15,4,FALSE),0)</f>
        <v>0</v>
      </c>
      <c r="D15" s="40">
        <v>0</v>
      </c>
      <c r="E15" s="40">
        <v>0</v>
      </c>
      <c r="F15" s="41"/>
      <c r="G15" s="2"/>
    </row>
    <row r="16" spans="1:7" ht="20.100000000000001" customHeight="1">
      <c r="A16" s="27"/>
      <c r="B16" s="28" t="s">
        <v>52</v>
      </c>
      <c r="C16" s="29">
        <f>SUM(C8:C15)</f>
        <v>0</v>
      </c>
      <c r="D16" s="29">
        <f>SUM(D8:D15)</f>
        <v>0</v>
      </c>
      <c r="E16" s="29">
        <v>0</v>
      </c>
      <c r="F16" s="8"/>
      <c r="G16" s="2"/>
    </row>
    <row r="17" spans="1:7" ht="20.100000000000001" customHeight="1">
      <c r="A17" s="5"/>
      <c r="B17" s="23" t="s">
        <v>41</v>
      </c>
      <c r="C17" s="17"/>
      <c r="D17" s="17"/>
      <c r="E17" s="17"/>
      <c r="F17" s="25"/>
      <c r="G17" s="2"/>
    </row>
    <row r="18" spans="1:7" ht="20.100000000000001" customHeight="1">
      <c r="A18" s="15">
        <v>1</v>
      </c>
      <c r="B18" s="26" t="s">
        <v>5</v>
      </c>
      <c r="C18" s="18">
        <f t="array" ref="C18">IFERROR(INDEX('収益・費用明細書(様式3)'!$D$1:$G$3000,MATCH('収支予算書(様式2)'!B18&amp;"　小　　　　計",'収益・費用明細書(様式3)'!$D$1:$D$3000&amp;'収益・費用明細書(様式3)'!$F$1:$F$3000,0),4),0)</f>
        <v>0</v>
      </c>
      <c r="D18" s="18">
        <v>0</v>
      </c>
      <c r="E18" s="18">
        <v>0</v>
      </c>
      <c r="F18" s="11"/>
      <c r="G18" s="2"/>
    </row>
    <row r="19" spans="1:7" ht="20.100000000000001" customHeight="1">
      <c r="A19" s="15">
        <v>2</v>
      </c>
      <c r="B19" s="26" t="s">
        <v>63</v>
      </c>
      <c r="C19" s="18">
        <f t="array" ref="C19">IFERROR(INDEX('収益・費用明細書(様式3)'!$D$1:$G$3000,MATCH('収支予算書(様式2)'!B19&amp;"　小　　　　計",'収益・費用明細書(様式3)'!$D$1:$D$3000&amp;'収益・費用明細書(様式3)'!$F$1:$F$3000,0),4),0)</f>
        <v>0</v>
      </c>
      <c r="D19" s="18">
        <v>0</v>
      </c>
      <c r="E19" s="18">
        <v>0</v>
      </c>
      <c r="F19" s="11"/>
      <c r="G19" s="2"/>
    </row>
    <row r="20" spans="1:7" ht="20.100000000000001" customHeight="1">
      <c r="A20" s="15">
        <v>3</v>
      </c>
      <c r="B20" s="26" t="s">
        <v>6</v>
      </c>
      <c r="C20" s="18">
        <f t="array" ref="C20">IFERROR(INDEX('収益・費用明細書(様式3)'!$D$1:$G$3000,MATCH('収支予算書(様式2)'!B20&amp;"　小　　　　計",'収益・費用明細書(様式3)'!$D$1:$D$3000&amp;'収益・費用明細書(様式3)'!$F$1:$F$3000,0),4),0)</f>
        <v>0</v>
      </c>
      <c r="D20" s="18">
        <v>0</v>
      </c>
      <c r="E20" s="18">
        <v>0</v>
      </c>
      <c r="F20" s="11"/>
      <c r="G20" s="2"/>
    </row>
    <row r="21" spans="1:7" ht="20.100000000000001" customHeight="1">
      <c r="A21" s="15">
        <v>4</v>
      </c>
      <c r="B21" s="26" t="s">
        <v>7</v>
      </c>
      <c r="C21" s="18">
        <f t="array" ref="C21">IFERROR(INDEX('収益・費用明細書(様式3)'!$D$1:$G$3000,MATCH('収支予算書(様式2)'!B21&amp;"　小　　　　計",'収益・費用明細書(様式3)'!$D$1:$D$3000&amp;'収益・費用明細書(様式3)'!$F$1:$F$3000,0),4),0)</f>
        <v>0</v>
      </c>
      <c r="D21" s="18">
        <v>0</v>
      </c>
      <c r="E21" s="18">
        <v>0</v>
      </c>
      <c r="F21" s="11"/>
      <c r="G21" s="2"/>
    </row>
    <row r="22" spans="1:7" ht="20.100000000000001" customHeight="1">
      <c r="A22" s="15">
        <v>5</v>
      </c>
      <c r="B22" s="26" t="s">
        <v>8</v>
      </c>
      <c r="C22" s="18">
        <f t="array" ref="C22">IFERROR(INDEX('収益・費用明細書(様式3)'!$D$1:$G$3000,MATCH('収支予算書(様式2)'!B22&amp;"　小　　　　計",'収益・費用明細書(様式3)'!$D$1:$D$3000&amp;'収益・費用明細書(様式3)'!$F$1:$F$3000,0),4),0)</f>
        <v>0</v>
      </c>
      <c r="D22" s="18">
        <v>0</v>
      </c>
      <c r="E22" s="18">
        <v>0</v>
      </c>
      <c r="F22" s="11"/>
      <c r="G22" s="2"/>
    </row>
    <row r="23" spans="1:7" ht="20.100000000000001" customHeight="1">
      <c r="A23" s="38">
        <v>6</v>
      </c>
      <c r="B23" s="26" t="s">
        <v>9</v>
      </c>
      <c r="C23" s="18">
        <f t="array" ref="C23">IFERROR(INDEX('収益・費用明細書(様式3)'!$D$1:$G$3000,MATCH('収支予算書(様式2)'!B23&amp;"　小　　　　計",'収益・費用明細書(様式3)'!$D$1:$D$3000&amp;'収益・費用明細書(様式3)'!$F$1:$F$3000,0),4),0)</f>
        <v>0</v>
      </c>
      <c r="D23" s="18">
        <v>0</v>
      </c>
      <c r="E23" s="18">
        <v>0</v>
      </c>
      <c r="F23" s="11"/>
      <c r="G23" s="2"/>
    </row>
    <row r="24" spans="1:7" ht="20.100000000000001" customHeight="1">
      <c r="A24" s="38">
        <v>7</v>
      </c>
      <c r="B24" s="26" t="s">
        <v>10</v>
      </c>
      <c r="C24" s="18">
        <f t="array" ref="C24">IFERROR(INDEX('収益・費用明細書(様式3)'!$D$1:$G$3000,MATCH('収支予算書(様式2)'!B24&amp;"　小　　　　計",'収益・費用明細書(様式3)'!$D$1:$D$3000&amp;'収益・費用明細書(様式3)'!$F$1:$F$3000,0),4),0)</f>
        <v>0</v>
      </c>
      <c r="D24" s="18">
        <v>0</v>
      </c>
      <c r="E24" s="18">
        <v>0</v>
      </c>
      <c r="F24" s="11"/>
      <c r="G24" s="2"/>
    </row>
    <row r="25" spans="1:7" ht="20.100000000000001" customHeight="1">
      <c r="A25" s="38">
        <v>8</v>
      </c>
      <c r="B25" s="39" t="s">
        <v>11</v>
      </c>
      <c r="C25" s="18">
        <f t="array" ref="C25">IFERROR(INDEX('収益・費用明細書(様式3)'!$D$1:$G$3000,MATCH('収支予算書(様式2)'!B25&amp;"　小　　　　計",'収益・費用明細書(様式3)'!$D$1:$D$3000&amp;'収益・費用明細書(様式3)'!$F$1:$F$3000,0),4),0)</f>
        <v>0</v>
      </c>
      <c r="D25" s="18">
        <v>0</v>
      </c>
      <c r="E25" s="18">
        <v>0</v>
      </c>
      <c r="F25" s="11"/>
      <c r="G25" s="2"/>
    </row>
    <row r="26" spans="1:7" ht="20.100000000000001" customHeight="1">
      <c r="A26" s="38">
        <v>9</v>
      </c>
      <c r="B26" s="26" t="s">
        <v>12</v>
      </c>
      <c r="C26" s="18">
        <f t="array" ref="C26">IFERROR(INDEX('収益・費用明細書(様式3)'!$D$1:$G$3000,MATCH('収支予算書(様式2)'!B26&amp;"　小　　　　計",'収益・費用明細書(様式3)'!$D$1:$D$3000&amp;'収益・費用明細書(様式3)'!$F$1:$F$3000,0),4),0)</f>
        <v>0</v>
      </c>
      <c r="D26" s="18">
        <v>0</v>
      </c>
      <c r="E26" s="18">
        <v>0</v>
      </c>
      <c r="F26" s="11"/>
      <c r="G26" s="2"/>
    </row>
    <row r="27" spans="1:7" ht="20.100000000000001" customHeight="1">
      <c r="A27" s="38">
        <v>10</v>
      </c>
      <c r="B27" s="26" t="s">
        <v>13</v>
      </c>
      <c r="C27" s="18">
        <f t="array" ref="C27">IFERROR(INDEX('収益・費用明細書(様式3)'!$D$1:$G$3000,MATCH('収支予算書(様式2)'!B27&amp;"　小　　　　計",'収益・費用明細書(様式3)'!$D$1:$D$3000&amp;'収益・費用明細書(様式3)'!$F$1:$F$3000,0),4),0)</f>
        <v>0</v>
      </c>
      <c r="D27" s="18">
        <v>0</v>
      </c>
      <c r="E27" s="18">
        <v>0</v>
      </c>
      <c r="F27" s="11"/>
      <c r="G27" s="2"/>
    </row>
    <row r="28" spans="1:7" ht="20.100000000000001" customHeight="1">
      <c r="A28" s="38">
        <v>11</v>
      </c>
      <c r="B28" s="26" t="s">
        <v>14</v>
      </c>
      <c r="C28" s="18">
        <f t="array" ref="C28">IFERROR(INDEX('収益・費用明細書(様式3)'!$D$1:$G$3000,MATCH('収支予算書(様式2)'!B28&amp;"　小　　　　計",'収益・費用明細書(様式3)'!$D$1:$D$3000&amp;'収益・費用明細書(様式3)'!$F$1:$F$3000,0),4),0)</f>
        <v>0</v>
      </c>
      <c r="D28" s="18">
        <v>0</v>
      </c>
      <c r="E28" s="18">
        <v>0</v>
      </c>
      <c r="F28" s="11"/>
      <c r="G28" s="2"/>
    </row>
    <row r="29" spans="1:7" ht="20.100000000000001" customHeight="1">
      <c r="A29" s="38">
        <v>12</v>
      </c>
      <c r="B29" s="26" t="s">
        <v>15</v>
      </c>
      <c r="C29" s="18">
        <f t="array" ref="C29">IFERROR(INDEX('収益・費用明細書(様式3)'!$D$1:$G$3000,MATCH('収支予算書(様式2)'!B29&amp;"　小　　　　計",'収益・費用明細書(様式3)'!$D$1:$D$3000&amp;'収益・費用明細書(様式3)'!$F$1:$F$3000,0),4),0)</f>
        <v>0</v>
      </c>
      <c r="D29" s="18">
        <v>0</v>
      </c>
      <c r="E29" s="18">
        <v>0</v>
      </c>
      <c r="F29" s="11"/>
      <c r="G29" s="2"/>
    </row>
    <row r="30" spans="1:7" ht="20.100000000000001" customHeight="1">
      <c r="A30" s="38">
        <v>13</v>
      </c>
      <c r="B30" s="26" t="s">
        <v>16</v>
      </c>
      <c r="C30" s="18">
        <f t="array" ref="C30">IFERROR(INDEX('収益・費用明細書(様式3)'!$D$1:$G$3000,MATCH('収支予算書(様式2)'!B30&amp;"　小　　　　計",'収益・費用明細書(様式3)'!$D$1:$D$3000&amp;'収益・費用明細書(様式3)'!$F$1:$F$3000,0),4),0)</f>
        <v>0</v>
      </c>
      <c r="D30" s="18">
        <v>0</v>
      </c>
      <c r="E30" s="18">
        <v>0</v>
      </c>
      <c r="F30" s="11"/>
      <c r="G30" s="2"/>
    </row>
    <row r="31" spans="1:7" ht="20.100000000000001" customHeight="1">
      <c r="A31" s="38">
        <v>14</v>
      </c>
      <c r="B31" s="26" t="s">
        <v>17</v>
      </c>
      <c r="C31" s="18">
        <f t="array" ref="C31">IFERROR(INDEX('収益・費用明細書(様式3)'!$D$1:$G$3000,MATCH('収支予算書(様式2)'!B31&amp;"　小　　　　計",'収益・費用明細書(様式3)'!$D$1:$D$3000&amp;'収益・費用明細書(様式3)'!$F$1:$F$3000,0),4),0)</f>
        <v>0</v>
      </c>
      <c r="D31" s="18">
        <v>0</v>
      </c>
      <c r="E31" s="18">
        <v>0</v>
      </c>
      <c r="F31" s="61">
        <f>ROUNDDOWN(IFERROR(C31/C32, ""),4)</f>
        <v>0</v>
      </c>
      <c r="G31" s="2"/>
    </row>
    <row r="32" spans="1:7" ht="20.100000000000001" customHeight="1">
      <c r="A32" s="38"/>
      <c r="B32" s="26" t="s">
        <v>18</v>
      </c>
      <c r="C32" s="18">
        <f>SUM(C18:C31)</f>
        <v>0</v>
      </c>
      <c r="D32" s="18">
        <f>SUM(D18:D31)</f>
        <v>0</v>
      </c>
      <c r="E32" s="18">
        <f>SUM(E18:E31)</f>
        <v>0</v>
      </c>
      <c r="F32" s="11"/>
      <c r="G32" s="2"/>
    </row>
    <row r="33" spans="1:7" ht="20.100000000000001" customHeight="1">
      <c r="A33" s="10"/>
      <c r="B33" s="26" t="s">
        <v>19</v>
      </c>
      <c r="C33" s="18">
        <f>C16-C32</f>
        <v>0</v>
      </c>
      <c r="D33" s="18">
        <f>D16-D32</f>
        <v>0</v>
      </c>
      <c r="E33" s="18">
        <f>E16-E32</f>
        <v>0</v>
      </c>
      <c r="F33" s="11"/>
      <c r="G33" s="2"/>
    </row>
    <row r="34" spans="1:7" ht="15" customHeight="1">
      <c r="A34" s="2"/>
      <c r="B34" s="30"/>
      <c r="C34" s="2"/>
      <c r="D34" s="2"/>
      <c r="E34" s="2"/>
      <c r="F34" s="2"/>
      <c r="G34" s="2"/>
    </row>
    <row r="35" spans="1:7" ht="15" customHeight="1">
      <c r="A35" s="2"/>
      <c r="B35" s="30"/>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sheetData>
  <mergeCells count="2">
    <mergeCell ref="B4:E4"/>
    <mergeCell ref="A2:F2"/>
  </mergeCells>
  <phoneticPr fontId="3"/>
  <printOptions horizontalCentered="1"/>
  <pageMargins left="0.35433070866141736" right="0.51181102362204722" top="0.98425196850393704" bottom="0.98425196850393704" header="0.51181102362204722" footer="0.5118110236220472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pageSetUpPr fitToPage="1"/>
  </sheetPr>
  <dimension ref="A1:I41"/>
  <sheetViews>
    <sheetView view="pageBreakPreview" zoomScaleNormal="100" zoomScaleSheetLayoutView="100" workbookViewId="0">
      <selection activeCell="D17" sqref="D17"/>
    </sheetView>
  </sheetViews>
  <sheetFormatPr defaultColWidth="9" defaultRowHeight="13.2"/>
  <cols>
    <col min="1" max="1" width="1.77734375" style="1" customWidth="1"/>
    <col min="2" max="2" width="3.77734375" style="1" customWidth="1"/>
    <col min="3" max="3" width="1.77734375" style="1" customWidth="1"/>
    <col min="4" max="4" width="18.77734375" style="1" customWidth="1"/>
    <col min="5" max="5" width="11.77734375" style="1" customWidth="1"/>
    <col min="6" max="6" width="24.77734375" style="1" customWidth="1"/>
    <col min="7" max="7" width="20.77734375" style="1" customWidth="1"/>
    <col min="8" max="8" width="5.109375" style="1" customWidth="1"/>
    <col min="9" max="9" width="4.109375" style="1" customWidth="1"/>
    <col min="10" max="16384" width="9" style="1"/>
  </cols>
  <sheetData>
    <row r="1" spans="1:9" ht="21">
      <c r="A1" s="43"/>
      <c r="B1" s="2"/>
      <c r="C1" s="2"/>
      <c r="D1" s="138" t="s">
        <v>71</v>
      </c>
      <c r="E1" s="138"/>
      <c r="F1" s="138"/>
      <c r="G1" s="138"/>
      <c r="H1" s="138"/>
      <c r="I1" s="2"/>
    </row>
    <row r="2" spans="1:9">
      <c r="A2" s="2"/>
      <c r="B2" s="140" t="s">
        <v>74</v>
      </c>
      <c r="C2" s="140"/>
      <c r="D2" s="140"/>
      <c r="E2" s="140"/>
      <c r="F2" s="140"/>
      <c r="G2" s="140"/>
      <c r="H2" s="3"/>
      <c r="I2" s="2"/>
    </row>
    <row r="3" spans="1:9">
      <c r="A3" s="2"/>
      <c r="B3" s="2"/>
      <c r="C3" s="2"/>
      <c r="D3" s="3"/>
      <c r="E3" s="3"/>
      <c r="F3" s="3"/>
      <c r="G3" s="3"/>
      <c r="H3" s="3"/>
      <c r="I3" s="2"/>
    </row>
    <row r="4" spans="1:9">
      <c r="A4" s="139" t="s">
        <v>49</v>
      </c>
      <c r="B4" s="139"/>
      <c r="C4" s="139"/>
      <c r="D4" s="139"/>
      <c r="E4" s="4"/>
      <c r="F4" s="2"/>
      <c r="G4" s="2"/>
      <c r="H4" s="3" t="s">
        <v>20</v>
      </c>
      <c r="I4" s="2"/>
    </row>
    <row r="5" spans="1:9" ht="30" customHeight="1">
      <c r="A5" s="133" t="s">
        <v>21</v>
      </c>
      <c r="B5" s="134"/>
      <c r="C5" s="134"/>
      <c r="D5" s="135"/>
      <c r="E5" s="141" t="s">
        <v>22</v>
      </c>
      <c r="F5" s="135"/>
      <c r="G5" s="6" t="s">
        <v>23</v>
      </c>
      <c r="H5" s="6" t="s">
        <v>181</v>
      </c>
      <c r="I5" s="2"/>
    </row>
    <row r="6" spans="1:9" ht="30" customHeight="1">
      <c r="A6" s="7" t="s">
        <v>24</v>
      </c>
      <c r="B6" s="14">
        <v>1</v>
      </c>
      <c r="C6" s="16" t="s">
        <v>61</v>
      </c>
      <c r="D6" s="11" t="str">
        <f>IF(B6="","括弧内に様式2の項目番号を入れてください",VLOOKUP(B6,'収支予算書(様式2)'!$A$8:$B$15,2,FALSE))</f>
        <v>登 録 料 収 益</v>
      </c>
      <c r="E6" s="136"/>
      <c r="F6" s="137"/>
      <c r="G6" s="31">
        <v>0</v>
      </c>
      <c r="H6" s="11"/>
      <c r="I6" s="2"/>
    </row>
    <row r="7" spans="1:9" ht="30" customHeight="1">
      <c r="A7" s="7" t="s">
        <v>24</v>
      </c>
      <c r="B7" s="14"/>
      <c r="C7" s="16" t="s">
        <v>61</v>
      </c>
      <c r="D7" s="73" t="str">
        <f>IF(B7="","括弧内に様式2の項目番号を入れてください",VLOOKUP(B7,'収支予算書(様式2)'!$A$8:$B$15,2,FALSE))</f>
        <v>括弧内に様式2の項目番号を入れてください</v>
      </c>
      <c r="E7" s="136"/>
      <c r="F7" s="137"/>
      <c r="G7" s="31">
        <v>0</v>
      </c>
      <c r="H7" s="11"/>
      <c r="I7" s="2"/>
    </row>
    <row r="8" spans="1:9" ht="30" customHeight="1">
      <c r="A8" s="7" t="s">
        <v>24</v>
      </c>
      <c r="B8" s="14"/>
      <c r="C8" s="16" t="s">
        <v>61</v>
      </c>
      <c r="D8" s="73" t="str">
        <f>IF(B8="","括弧内に様式2の項目番号を入れてください",VLOOKUP(B8,'収支予算書(様式2)'!$A$8:$B$15,2,FALSE))</f>
        <v>括弧内に様式2の項目番号を入れてください</v>
      </c>
      <c r="E8" s="136"/>
      <c r="F8" s="137"/>
      <c r="G8" s="31">
        <v>0</v>
      </c>
      <c r="H8" s="11"/>
      <c r="I8" s="2"/>
    </row>
    <row r="9" spans="1:9" ht="30" customHeight="1">
      <c r="A9" s="7" t="s">
        <v>24</v>
      </c>
      <c r="B9" s="14"/>
      <c r="C9" s="16" t="s">
        <v>61</v>
      </c>
      <c r="D9" s="73" t="str">
        <f>IF(B9="","括弧内に様式2の項目番号を入れてください",VLOOKUP(B9,'収支予算書(様式2)'!$A$8:$B$15,2,FALSE))</f>
        <v>括弧内に様式2の項目番号を入れてください</v>
      </c>
      <c r="E9" s="136"/>
      <c r="F9" s="137"/>
      <c r="G9" s="31">
        <v>0</v>
      </c>
      <c r="H9" s="11"/>
      <c r="I9" s="2"/>
    </row>
    <row r="10" spans="1:9" ht="30" customHeight="1">
      <c r="A10" s="133" t="s">
        <v>25</v>
      </c>
      <c r="B10" s="134"/>
      <c r="C10" s="134"/>
      <c r="D10" s="134"/>
      <c r="E10" s="134"/>
      <c r="F10" s="135"/>
      <c r="G10" s="31">
        <f>SUM(G6:G9)</f>
        <v>0</v>
      </c>
      <c r="H10" s="11"/>
      <c r="I10" s="2"/>
    </row>
    <row r="11" spans="1:9" ht="13.5" customHeight="1">
      <c r="A11" s="2"/>
      <c r="B11" s="2"/>
      <c r="C11" s="2"/>
      <c r="D11" s="2"/>
      <c r="E11" s="2"/>
      <c r="F11" s="2"/>
      <c r="G11" s="2"/>
      <c r="H11" s="2"/>
      <c r="I11" s="2"/>
    </row>
    <row r="12" spans="1:9" ht="13.5" customHeight="1">
      <c r="A12" s="2"/>
      <c r="B12" s="2"/>
      <c r="C12" s="2"/>
      <c r="D12" s="2"/>
      <c r="E12" s="2"/>
      <c r="F12" s="2"/>
      <c r="G12" s="2"/>
      <c r="H12" s="2"/>
      <c r="I12" s="2"/>
    </row>
    <row r="13" spans="1:9" ht="13.5" customHeight="1">
      <c r="A13" s="2"/>
      <c r="B13" s="2"/>
      <c r="C13" s="2"/>
      <c r="D13" s="138"/>
      <c r="E13" s="138"/>
      <c r="F13" s="138"/>
      <c r="G13" s="138"/>
      <c r="H13" s="138"/>
      <c r="I13" s="2"/>
    </row>
    <row r="14" spans="1:9" ht="19.5" customHeight="1">
      <c r="A14" s="139" t="s">
        <v>50</v>
      </c>
      <c r="B14" s="139"/>
      <c r="C14" s="139"/>
      <c r="D14" s="139"/>
      <c r="E14" s="2"/>
      <c r="F14" s="2"/>
      <c r="G14" s="2"/>
      <c r="H14" s="3" t="s">
        <v>20</v>
      </c>
      <c r="I14" s="2"/>
    </row>
    <row r="15" spans="1:9" ht="30" customHeight="1">
      <c r="A15" s="133" t="s">
        <v>21</v>
      </c>
      <c r="B15" s="134"/>
      <c r="C15" s="134"/>
      <c r="D15" s="135"/>
      <c r="E15" s="6" t="s">
        <v>26</v>
      </c>
      <c r="F15" s="6" t="s">
        <v>27</v>
      </c>
      <c r="G15" s="6" t="s">
        <v>23</v>
      </c>
      <c r="H15" s="6" t="s">
        <v>180</v>
      </c>
      <c r="I15" s="2"/>
    </row>
    <row r="16" spans="1:9" ht="30" customHeight="1">
      <c r="A16" s="32" t="s">
        <v>24</v>
      </c>
      <c r="B16" s="4">
        <v>1</v>
      </c>
      <c r="C16" s="2" t="s">
        <v>61</v>
      </c>
      <c r="D16" s="74" t="str">
        <f>IF(B16="","括弧内に様式2の項目番号を入れてください",VLOOKUP(B16,'収支予算書(様式2)'!$A$18:$B$31,2,FALSE))</f>
        <v>会場設営費</v>
      </c>
      <c r="E16" s="11"/>
      <c r="F16" s="11"/>
      <c r="G16" s="18">
        <v>0</v>
      </c>
      <c r="H16" s="11"/>
      <c r="I16" s="2"/>
    </row>
    <row r="17" spans="1:9" ht="30" customHeight="1">
      <c r="A17" s="9"/>
      <c r="B17" s="2"/>
      <c r="C17" s="2"/>
      <c r="D17" s="66" t="str">
        <f>D16</f>
        <v>会場設営費</v>
      </c>
      <c r="E17" s="11"/>
      <c r="F17" s="11"/>
      <c r="G17" s="18">
        <v>0</v>
      </c>
      <c r="H17" s="11"/>
      <c r="I17" s="2"/>
    </row>
    <row r="18" spans="1:9" ht="30" customHeight="1">
      <c r="A18" s="9"/>
      <c r="B18" s="2"/>
      <c r="C18" s="2"/>
      <c r="D18" s="66" t="str">
        <f>D16</f>
        <v>会場設営費</v>
      </c>
      <c r="E18" s="11"/>
      <c r="F18" s="8"/>
      <c r="G18" s="18">
        <v>0</v>
      </c>
      <c r="H18" s="11"/>
      <c r="I18" s="2"/>
    </row>
    <row r="19" spans="1:9" ht="30" customHeight="1">
      <c r="A19" s="10"/>
      <c r="B19" s="16"/>
      <c r="C19" s="16"/>
      <c r="D19" s="67" t="str">
        <f>D16</f>
        <v>会場設営費</v>
      </c>
      <c r="E19" s="16"/>
      <c r="F19" s="25" t="s">
        <v>28</v>
      </c>
      <c r="G19" s="33">
        <f>SUM(G16:G18)</f>
        <v>0</v>
      </c>
      <c r="H19" s="11"/>
      <c r="I19" s="2"/>
    </row>
    <row r="20" spans="1:9" ht="30" customHeight="1">
      <c r="A20" s="32" t="s">
        <v>24</v>
      </c>
      <c r="B20" s="4"/>
      <c r="C20" s="2" t="s">
        <v>61</v>
      </c>
      <c r="D20" s="74" t="str">
        <f>IF(B20="","括弧内に様式2の項目番号を入れてください",VLOOKUP(B20,'収支予算書(様式2)'!$A$18:$B$31,2,FALSE))</f>
        <v>括弧内に様式2の項目番号を入れてください</v>
      </c>
      <c r="E20" s="65"/>
      <c r="F20" s="11"/>
      <c r="G20" s="18">
        <v>0</v>
      </c>
      <c r="H20" s="11"/>
      <c r="I20" s="2"/>
    </row>
    <row r="21" spans="1:9" ht="30" customHeight="1">
      <c r="A21" s="9"/>
      <c r="B21" s="2"/>
      <c r="C21" s="2"/>
      <c r="D21" s="66" t="str">
        <f>D20</f>
        <v>括弧内に様式2の項目番号を入れてください</v>
      </c>
      <c r="E21" s="65"/>
      <c r="F21" s="11"/>
      <c r="G21" s="18">
        <v>0</v>
      </c>
      <c r="H21" s="11"/>
      <c r="I21" s="2"/>
    </row>
    <row r="22" spans="1:9" ht="30" customHeight="1">
      <c r="A22" s="9"/>
      <c r="B22" s="2"/>
      <c r="C22" s="2"/>
      <c r="D22" s="66" t="str">
        <f>D20</f>
        <v>括弧内に様式2の項目番号を入れてください</v>
      </c>
      <c r="E22" s="37"/>
      <c r="F22" s="11"/>
      <c r="G22" s="18">
        <v>0</v>
      </c>
      <c r="H22" s="11"/>
      <c r="I22" s="2"/>
    </row>
    <row r="23" spans="1:9" ht="30" customHeight="1">
      <c r="A23" s="10"/>
      <c r="B23" s="16"/>
      <c r="C23" s="16"/>
      <c r="D23" s="67" t="str">
        <f>D20</f>
        <v>括弧内に様式2の項目番号を入れてください</v>
      </c>
      <c r="E23" s="10"/>
      <c r="F23" s="11" t="s">
        <v>29</v>
      </c>
      <c r="G23" s="18">
        <f>SUM(G20:G22)</f>
        <v>0</v>
      </c>
      <c r="H23" s="11"/>
      <c r="I23" s="2"/>
    </row>
    <row r="24" spans="1:9" ht="30" customHeight="1">
      <c r="A24" s="32" t="s">
        <v>24</v>
      </c>
      <c r="B24" s="4"/>
      <c r="C24" s="2" t="s">
        <v>61</v>
      </c>
      <c r="D24" s="74" t="str">
        <f>IF(B24="","括弧内に様式2の項目番号を入れてください",VLOOKUP(B24,'収支予算書(様式2)'!$A$18:$B$31,2,FALSE))</f>
        <v>括弧内に様式2の項目番号を入れてください</v>
      </c>
      <c r="E24" s="37"/>
      <c r="F24" s="11"/>
      <c r="G24" s="18">
        <v>0</v>
      </c>
      <c r="H24" s="11"/>
      <c r="I24" s="2"/>
    </row>
    <row r="25" spans="1:9" ht="30" customHeight="1">
      <c r="A25" s="9"/>
      <c r="B25" s="2"/>
      <c r="C25" s="2"/>
      <c r="D25" s="66" t="str">
        <f>D24</f>
        <v>括弧内に様式2の項目番号を入れてください</v>
      </c>
      <c r="E25" s="37"/>
      <c r="F25" s="11"/>
      <c r="G25" s="18">
        <v>0</v>
      </c>
      <c r="H25" s="11"/>
      <c r="I25" s="2"/>
    </row>
    <row r="26" spans="1:9" ht="30" customHeight="1">
      <c r="A26" s="9"/>
      <c r="B26" s="2"/>
      <c r="C26" s="2"/>
      <c r="D26" s="66" t="str">
        <f>D24</f>
        <v>括弧内に様式2の項目番号を入れてください</v>
      </c>
      <c r="E26" s="37"/>
      <c r="F26" s="11"/>
      <c r="G26" s="18">
        <v>0</v>
      </c>
      <c r="H26" s="11"/>
      <c r="I26" s="2"/>
    </row>
    <row r="27" spans="1:9" ht="30" customHeight="1">
      <c r="A27" s="10"/>
      <c r="B27" s="16"/>
      <c r="C27" s="16"/>
      <c r="D27" s="67" t="str">
        <f>D24</f>
        <v>括弧内に様式2の項目番号を入れてください</v>
      </c>
      <c r="E27" s="10"/>
      <c r="F27" s="11" t="s">
        <v>28</v>
      </c>
      <c r="G27" s="18">
        <f>SUM(G24:G26)</f>
        <v>0</v>
      </c>
      <c r="H27" s="11"/>
      <c r="I27" s="2"/>
    </row>
    <row r="28" spans="1:9" ht="30" customHeight="1">
      <c r="A28" s="32" t="s">
        <v>24</v>
      </c>
      <c r="B28" s="4"/>
      <c r="C28" s="2" t="s">
        <v>61</v>
      </c>
      <c r="D28" s="74" t="str">
        <f>IF(B28="","括弧内に様式2の項目番号を入れてください",VLOOKUP(B28,'収支予算書(様式2)'!$A$18:$B$31,2,FALSE))</f>
        <v>括弧内に様式2の項目番号を入れてください</v>
      </c>
      <c r="E28" s="37"/>
      <c r="F28" s="11"/>
      <c r="G28" s="18">
        <v>0</v>
      </c>
      <c r="H28" s="11"/>
      <c r="I28" s="2"/>
    </row>
    <row r="29" spans="1:9" ht="30" customHeight="1">
      <c r="A29" s="9"/>
      <c r="B29" s="2"/>
      <c r="C29" s="2"/>
      <c r="D29" s="66" t="str">
        <f>D28</f>
        <v>括弧内に様式2の項目番号を入れてください</v>
      </c>
      <c r="E29" s="37"/>
      <c r="F29" s="11"/>
      <c r="G29" s="18">
        <v>0</v>
      </c>
      <c r="H29" s="11"/>
      <c r="I29" s="2"/>
    </row>
    <row r="30" spans="1:9" ht="30" customHeight="1">
      <c r="A30" s="9"/>
      <c r="B30" s="2"/>
      <c r="C30" s="2"/>
      <c r="D30" s="66" t="str">
        <f>D28</f>
        <v>括弧内に様式2の項目番号を入れてください</v>
      </c>
      <c r="E30" s="37"/>
      <c r="F30" s="11"/>
      <c r="G30" s="18">
        <v>0</v>
      </c>
      <c r="H30" s="11"/>
      <c r="I30" s="2"/>
    </row>
    <row r="31" spans="1:9" ht="30" customHeight="1">
      <c r="A31" s="10"/>
      <c r="B31" s="16"/>
      <c r="C31" s="16"/>
      <c r="D31" s="67" t="str">
        <f>D28</f>
        <v>括弧内に様式2の項目番号を入れてください</v>
      </c>
      <c r="E31" s="10"/>
      <c r="F31" s="11" t="s">
        <v>28</v>
      </c>
      <c r="G31" s="18">
        <f>SUM(G28:G30)</f>
        <v>0</v>
      </c>
      <c r="H31" s="11"/>
      <c r="I31" s="2"/>
    </row>
    <row r="32" spans="1:9" ht="30" customHeight="1">
      <c r="A32" s="32" t="s">
        <v>24</v>
      </c>
      <c r="B32" s="4">
        <v>14</v>
      </c>
      <c r="C32" s="2" t="s">
        <v>61</v>
      </c>
      <c r="D32" s="8" t="str">
        <f>IF(B32="","括弧内に様式2の項目番号を入れてください",VLOOKUP(B32,'収支予算書(様式2)'!$A$18:$B$31,2,FALSE))</f>
        <v>予備費</v>
      </c>
      <c r="E32" s="11"/>
      <c r="F32" s="61">
        <f>ROUNDDOWN(IFERROR(G32/G34, ""),4)</f>
        <v>0</v>
      </c>
      <c r="G32" s="18">
        <v>0</v>
      </c>
      <c r="H32" s="11"/>
      <c r="I32" s="2"/>
    </row>
    <row r="33" spans="1:9" ht="30" customHeight="1">
      <c r="A33" s="10"/>
      <c r="B33" s="16"/>
      <c r="C33" s="16"/>
      <c r="D33" s="67" t="str">
        <f>D32</f>
        <v>予備費</v>
      </c>
      <c r="E33" s="16"/>
      <c r="F33" s="11" t="s">
        <v>28</v>
      </c>
      <c r="G33" s="18">
        <f>SUM(G32:G32)</f>
        <v>0</v>
      </c>
      <c r="H33" s="11"/>
      <c r="I33" s="2"/>
    </row>
    <row r="34" spans="1:9" ht="30" customHeight="1">
      <c r="A34" s="10"/>
      <c r="B34" s="16"/>
      <c r="C34" s="16"/>
      <c r="D34" s="16"/>
      <c r="E34" s="16"/>
      <c r="F34" s="11" t="s">
        <v>30</v>
      </c>
      <c r="G34" s="18">
        <f>SUM(G33,G31,G27,G23,G19)</f>
        <v>0</v>
      </c>
      <c r="H34" s="11"/>
      <c r="I34" s="2"/>
    </row>
    <row r="35" spans="1:9" ht="19.5" customHeight="1">
      <c r="A35" s="2"/>
      <c r="B35" s="2"/>
      <c r="C35" s="2"/>
      <c r="D35" s="2"/>
      <c r="E35" s="2"/>
      <c r="F35" s="2"/>
      <c r="G35" s="2"/>
      <c r="H35" s="2"/>
      <c r="I35" s="2"/>
    </row>
    <row r="36" spans="1:9" ht="19.5" customHeight="1">
      <c r="A36" s="2"/>
      <c r="B36" s="2"/>
      <c r="C36" s="2"/>
      <c r="D36" s="2"/>
      <c r="E36" s="2"/>
      <c r="F36" s="2"/>
      <c r="G36" s="2"/>
      <c r="H36" s="2"/>
      <c r="I36" s="2"/>
    </row>
    <row r="37" spans="1:9" ht="19.5" customHeight="1">
      <c r="A37" s="2"/>
      <c r="B37" s="2"/>
      <c r="C37" s="2"/>
      <c r="D37" s="2"/>
      <c r="E37" s="2"/>
      <c r="F37" s="2"/>
      <c r="G37" s="2"/>
      <c r="H37" s="2"/>
      <c r="I37" s="2"/>
    </row>
    <row r="38" spans="1:9" ht="19.5" customHeight="1">
      <c r="A38" s="2"/>
      <c r="B38" s="2"/>
      <c r="C38" s="2"/>
      <c r="D38" s="2"/>
      <c r="E38" s="2"/>
      <c r="F38" s="2"/>
      <c r="G38" s="2"/>
      <c r="H38" s="2"/>
      <c r="I38" s="2"/>
    </row>
    <row r="39" spans="1:9" ht="19.5" customHeight="1">
      <c r="A39" s="2"/>
      <c r="B39" s="2"/>
      <c r="C39" s="2"/>
      <c r="D39" s="2"/>
      <c r="E39" s="2"/>
      <c r="F39" s="2"/>
      <c r="G39" s="2"/>
      <c r="H39" s="2"/>
      <c r="I39" s="2"/>
    </row>
    <row r="40" spans="1:9" ht="19.5" customHeight="1">
      <c r="A40" s="2"/>
      <c r="B40" s="2"/>
      <c r="C40" s="2"/>
      <c r="D40" s="2"/>
      <c r="E40" s="2"/>
      <c r="F40" s="2"/>
      <c r="G40" s="2"/>
      <c r="H40" s="2"/>
      <c r="I40" s="2"/>
    </row>
    <row r="41" spans="1:9" ht="19.5" customHeight="1">
      <c r="A41" s="2"/>
      <c r="B41" s="2"/>
      <c r="C41" s="2"/>
      <c r="D41" s="2"/>
      <c r="E41" s="2"/>
      <c r="F41" s="2"/>
      <c r="G41" s="2"/>
      <c r="H41" s="2"/>
      <c r="I41" s="2"/>
    </row>
  </sheetData>
  <mergeCells count="13">
    <mergeCell ref="B2:G2"/>
    <mergeCell ref="D1:H1"/>
    <mergeCell ref="A4:D4"/>
    <mergeCell ref="A5:D5"/>
    <mergeCell ref="E5:F5"/>
    <mergeCell ref="A15:D15"/>
    <mergeCell ref="E6:F6"/>
    <mergeCell ref="E7:F7"/>
    <mergeCell ref="E8:F8"/>
    <mergeCell ref="E9:F9"/>
    <mergeCell ref="A10:F10"/>
    <mergeCell ref="D13:H13"/>
    <mergeCell ref="A14:D14"/>
  </mergeCells>
  <phoneticPr fontId="3"/>
  <dataValidations count="3">
    <dataValidation type="list" allowBlank="1" showInputMessage="1" showErrorMessage="1" sqref="B32 B28 B24 B20 B16" xr:uid="{00000000-0002-0000-0400-000000000000}">
      <formula1>"1,2,3,4,5,6,7,8,9,10,11,12,13,14"</formula1>
    </dataValidation>
    <dataValidation type="list" allowBlank="1" showInputMessage="1" showErrorMessage="1" sqref="B6:B9" xr:uid="{00000000-0002-0000-0400-000001000000}">
      <formula1>"1,2,3,4,5,6,7,8"</formula1>
    </dataValidation>
    <dataValidation type="list" allowBlank="1" showInputMessage="1" showErrorMessage="1" sqref="E32 E20:E22 E24:E26 E28:E30 E17:E18 E16" xr:uid="{00000000-0002-0000-0400-000002000000}">
      <formula1>INDIRECT($D16)</formula1>
    </dataValidation>
  </dataValidations>
  <printOptions horizontalCentered="1"/>
  <pageMargins left="0.78740157480314965" right="0.78740157480314965" top="0.98425196850393704" bottom="0.55118110236220474" header="0.51181102362204722" footer="0.51181102362204722"/>
  <pageSetup paperSize="9" scale="87"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7"/>
  <sheetViews>
    <sheetView view="pageBreakPreview" zoomScaleNormal="100" zoomScaleSheetLayoutView="100" workbookViewId="0">
      <selection activeCell="A3" sqref="A3:F3"/>
    </sheetView>
  </sheetViews>
  <sheetFormatPr defaultColWidth="9" defaultRowHeight="13.2"/>
  <cols>
    <col min="1" max="1" width="6.44140625" style="42" customWidth="1"/>
    <col min="2" max="2" width="27.77734375" style="42" bestFit="1" customWidth="1"/>
    <col min="3" max="3" width="23.6640625" style="42" customWidth="1"/>
    <col min="4" max="4" width="14.77734375" style="42" customWidth="1"/>
    <col min="5" max="5" width="18.88671875" style="42" bestFit="1" customWidth="1"/>
    <col min="6" max="6" width="6.44140625" style="42" customWidth="1"/>
    <col min="7" max="16384" width="9" style="42"/>
  </cols>
  <sheetData>
    <row r="1" spans="1:6" ht="21">
      <c r="A1" s="49"/>
      <c r="B1" s="50"/>
      <c r="C1" s="50"/>
      <c r="D1" s="50"/>
      <c r="E1" s="50"/>
      <c r="F1" s="50" t="s">
        <v>81</v>
      </c>
    </row>
    <row r="2" spans="1:6" ht="16.2">
      <c r="A2" s="143" t="s">
        <v>191</v>
      </c>
      <c r="B2" s="143"/>
      <c r="C2" s="143"/>
      <c r="D2" s="143"/>
      <c r="E2" s="143"/>
      <c r="F2" s="143"/>
    </row>
    <row r="3" spans="1:6" s="60" customFormat="1" ht="13.5" customHeight="1">
      <c r="A3" s="144" t="s">
        <v>79</v>
      </c>
      <c r="B3" s="144"/>
      <c r="C3" s="144"/>
      <c r="D3" s="144"/>
      <c r="E3" s="144"/>
      <c r="F3" s="144"/>
    </row>
    <row r="4" spans="1:6">
      <c r="A4" s="50"/>
      <c r="B4" s="50"/>
      <c r="C4" s="50"/>
      <c r="D4" s="50"/>
      <c r="E4" s="50"/>
      <c r="F4" s="50"/>
    </row>
    <row r="5" spans="1:6">
      <c r="A5" s="147" t="s">
        <v>77</v>
      </c>
      <c r="B5" s="148"/>
      <c r="C5" s="148"/>
      <c r="D5" s="148"/>
      <c r="E5" s="149"/>
      <c r="F5" s="50"/>
    </row>
    <row r="6" spans="1:6" ht="21.75" customHeight="1" thickBot="1">
      <c r="A6" s="70" t="str">
        <f>IF(A2="見積企業一覧表","見積№",IF(A2="請求企業一覧表","請求№",""))</f>
        <v>見積№</v>
      </c>
      <c r="B6" s="34" t="s">
        <v>31</v>
      </c>
      <c r="C6" s="34" t="s">
        <v>58</v>
      </c>
      <c r="D6" s="34" t="s">
        <v>32</v>
      </c>
      <c r="E6" s="35" t="s">
        <v>75</v>
      </c>
      <c r="F6" s="50"/>
    </row>
    <row r="7" spans="1:6" ht="20.100000000000001" customHeight="1" thickTop="1">
      <c r="A7" s="68"/>
      <c r="B7" s="51"/>
      <c r="C7" s="51"/>
      <c r="D7" s="69">
        <v>0</v>
      </c>
      <c r="E7" s="72"/>
      <c r="F7" s="50"/>
    </row>
    <row r="8" spans="1:6" ht="20.100000000000001" customHeight="1">
      <c r="A8" s="52"/>
      <c r="B8" s="51"/>
      <c r="C8" s="51"/>
      <c r="D8" s="69">
        <v>0</v>
      </c>
      <c r="E8" s="72"/>
      <c r="F8" s="50"/>
    </row>
    <row r="9" spans="1:6" ht="20.100000000000001" customHeight="1">
      <c r="A9" s="52"/>
      <c r="B9" s="51"/>
      <c r="C9" s="51"/>
      <c r="D9" s="69">
        <v>0</v>
      </c>
      <c r="E9" s="72"/>
      <c r="F9" s="50"/>
    </row>
    <row r="10" spans="1:6" ht="20.100000000000001" customHeight="1">
      <c r="A10" s="52"/>
      <c r="B10" s="51"/>
      <c r="C10" s="51"/>
      <c r="D10" s="69">
        <v>0</v>
      </c>
      <c r="E10" s="72"/>
      <c r="F10" s="50"/>
    </row>
    <row r="11" spans="1:6" ht="20.100000000000001" customHeight="1">
      <c r="A11" s="52"/>
      <c r="B11" s="51"/>
      <c r="C11" s="51"/>
      <c r="D11" s="69">
        <v>0</v>
      </c>
      <c r="E11" s="72"/>
      <c r="F11" s="50"/>
    </row>
    <row r="12" spans="1:6" ht="20.100000000000001" customHeight="1">
      <c r="A12" s="52"/>
      <c r="B12" s="51"/>
      <c r="C12" s="51"/>
      <c r="D12" s="69">
        <v>0</v>
      </c>
      <c r="E12" s="72"/>
      <c r="F12" s="50"/>
    </row>
    <row r="13" spans="1:6" ht="20.100000000000001" customHeight="1">
      <c r="A13" s="52"/>
      <c r="B13" s="51"/>
      <c r="C13" s="51"/>
      <c r="D13" s="69">
        <v>0</v>
      </c>
      <c r="E13" s="72"/>
      <c r="F13" s="50"/>
    </row>
    <row r="14" spans="1:6" ht="20.100000000000001" customHeight="1">
      <c r="A14" s="52"/>
      <c r="B14" s="51"/>
      <c r="C14" s="51"/>
      <c r="D14" s="69">
        <v>0</v>
      </c>
      <c r="E14" s="72"/>
      <c r="F14" s="50"/>
    </row>
    <row r="15" spans="1:6" ht="20.100000000000001" customHeight="1">
      <c r="A15" s="52"/>
      <c r="B15" s="51"/>
      <c r="C15" s="51"/>
      <c r="D15" s="69">
        <v>0</v>
      </c>
      <c r="E15" s="72"/>
      <c r="F15" s="50"/>
    </row>
    <row r="16" spans="1:6" ht="20.100000000000001" customHeight="1">
      <c r="A16" s="52"/>
      <c r="B16" s="51"/>
      <c r="C16" s="51"/>
      <c r="D16" s="69">
        <v>0</v>
      </c>
      <c r="E16" s="72"/>
      <c r="F16" s="50"/>
    </row>
    <row r="17" spans="1:6" ht="20.100000000000001" customHeight="1">
      <c r="A17" s="52"/>
      <c r="B17" s="51"/>
      <c r="C17" s="51"/>
      <c r="D17" s="69">
        <v>0</v>
      </c>
      <c r="E17" s="72"/>
      <c r="F17" s="50"/>
    </row>
    <row r="18" spans="1:6" ht="20.100000000000001" customHeight="1">
      <c r="A18" s="52"/>
      <c r="B18" s="51"/>
      <c r="C18" s="51"/>
      <c r="D18" s="69">
        <v>0</v>
      </c>
      <c r="E18" s="72"/>
      <c r="F18" s="50"/>
    </row>
    <row r="19" spans="1:6" ht="20.100000000000001" customHeight="1">
      <c r="A19" s="144"/>
      <c r="B19" s="144"/>
      <c r="C19" s="47" t="s">
        <v>33</v>
      </c>
      <c r="D19" s="48">
        <f>SUM(D7:D18)</f>
        <v>0</v>
      </c>
      <c r="E19" s="50"/>
      <c r="F19" s="50"/>
    </row>
    <row r="20" spans="1:6" ht="20.100000000000001" customHeight="1">
      <c r="A20" s="142" t="s">
        <v>178</v>
      </c>
      <c r="B20" s="142"/>
      <c r="C20" s="142"/>
      <c r="D20" s="63"/>
      <c r="E20" s="50"/>
      <c r="F20" s="50"/>
    </row>
    <row r="21" spans="1:6" ht="21" customHeight="1">
      <c r="A21" s="142" t="s">
        <v>78</v>
      </c>
      <c r="B21" s="142"/>
      <c r="C21" s="142"/>
      <c r="D21" s="142"/>
      <c r="E21" s="142"/>
      <c r="F21" s="142"/>
    </row>
    <row r="22" spans="1:6" s="54" customFormat="1" ht="17.25" customHeight="1">
      <c r="A22" s="62" t="s">
        <v>182</v>
      </c>
      <c r="B22" s="53"/>
      <c r="C22" s="53"/>
      <c r="D22" s="53"/>
      <c r="E22" s="53"/>
      <c r="F22" s="53"/>
    </row>
    <row r="23" spans="1:6" s="54" customFormat="1" ht="17.25" customHeight="1">
      <c r="A23" s="150"/>
      <c r="B23" s="150"/>
      <c r="C23" s="150"/>
      <c r="D23" s="53"/>
      <c r="E23" s="53"/>
      <c r="F23" s="53"/>
    </row>
    <row r="24" spans="1:6" ht="17.25" customHeight="1">
      <c r="A24" s="145" t="s">
        <v>73</v>
      </c>
      <c r="B24" s="146"/>
      <c r="C24" s="146"/>
      <c r="D24" s="146"/>
      <c r="E24" s="146"/>
      <c r="F24" s="146"/>
    </row>
    <row r="25" spans="1:6" ht="21" customHeight="1">
      <c r="A25" s="55"/>
      <c r="B25" s="56"/>
      <c r="C25" s="56"/>
      <c r="D25" s="56"/>
      <c r="E25" s="56"/>
      <c r="F25" s="56"/>
    </row>
    <row r="26" spans="1:6" ht="13.5" customHeight="1">
      <c r="A26" s="50"/>
      <c r="B26" s="50"/>
      <c r="C26" s="50"/>
      <c r="D26" s="50"/>
      <c r="E26" s="50"/>
      <c r="F26" s="50"/>
    </row>
    <row r="27" spans="1:6" ht="21.75" customHeight="1" thickBot="1">
      <c r="A27" s="71" t="str">
        <f>IF(A2="見積企業一覧表","見積№",IF(A2="請求企業一覧表","請求№",""))</f>
        <v>見積№</v>
      </c>
      <c r="B27" s="44" t="s">
        <v>34</v>
      </c>
      <c r="C27" s="44" t="s">
        <v>35</v>
      </c>
      <c r="D27" s="45" t="s">
        <v>60</v>
      </c>
      <c r="E27" s="46" t="s">
        <v>36</v>
      </c>
      <c r="F27" s="4"/>
    </row>
    <row r="28" spans="1:6" ht="20.100000000000001" customHeight="1" thickTop="1">
      <c r="A28" s="13"/>
      <c r="B28" s="36"/>
      <c r="C28" s="36"/>
      <c r="D28" s="14" t="s">
        <v>37</v>
      </c>
      <c r="E28" s="57"/>
      <c r="F28" s="4"/>
    </row>
    <row r="29" spans="1:6" ht="20.100000000000001" customHeight="1">
      <c r="A29" s="13"/>
      <c r="B29" s="36"/>
      <c r="C29" s="36"/>
      <c r="D29" s="14" t="s">
        <v>37</v>
      </c>
      <c r="E29" s="57"/>
      <c r="F29" s="4"/>
    </row>
    <row r="30" spans="1:6" ht="20.100000000000001" customHeight="1">
      <c r="A30" s="13"/>
      <c r="B30" s="36"/>
      <c r="C30" s="36"/>
      <c r="D30" s="14" t="s">
        <v>37</v>
      </c>
      <c r="E30" s="57"/>
      <c r="F30" s="4"/>
    </row>
    <row r="31" spans="1:6" ht="20.100000000000001" customHeight="1">
      <c r="A31" s="13"/>
      <c r="B31" s="36"/>
      <c r="C31" s="36"/>
      <c r="D31" s="14" t="s">
        <v>37</v>
      </c>
      <c r="E31" s="57"/>
      <c r="F31" s="4"/>
    </row>
    <row r="32" spans="1:6" ht="20.100000000000001" customHeight="1">
      <c r="A32" s="13"/>
      <c r="B32" s="36"/>
      <c r="C32" s="36"/>
      <c r="D32" s="14" t="s">
        <v>37</v>
      </c>
      <c r="E32" s="57"/>
      <c r="F32" s="4"/>
    </row>
    <row r="33" spans="1:6" ht="20.100000000000001" customHeight="1">
      <c r="A33" s="13"/>
      <c r="B33" s="36"/>
      <c r="C33" s="36"/>
      <c r="D33" s="14" t="s">
        <v>37</v>
      </c>
      <c r="E33" s="57"/>
      <c r="F33" s="4"/>
    </row>
    <row r="34" spans="1:6" ht="20.100000000000001" customHeight="1">
      <c r="A34" s="13"/>
      <c r="B34" s="36"/>
      <c r="C34" s="12"/>
      <c r="D34" s="14" t="s">
        <v>37</v>
      </c>
      <c r="E34" s="58"/>
      <c r="F34" s="4"/>
    </row>
    <row r="35" spans="1:6" ht="20.100000000000001" customHeight="1">
      <c r="A35" s="50"/>
      <c r="B35" s="50"/>
      <c r="C35" s="50"/>
      <c r="D35" s="47" t="s">
        <v>38</v>
      </c>
      <c r="E35" s="59">
        <f>SUM(E28:E34)</f>
        <v>0</v>
      </c>
      <c r="F35" s="50"/>
    </row>
    <row r="36" spans="1:6" ht="20.100000000000001" customHeight="1">
      <c r="A36" s="142" t="s">
        <v>178</v>
      </c>
      <c r="B36" s="142"/>
      <c r="C36" s="142"/>
      <c r="D36" s="63"/>
      <c r="E36" s="50"/>
      <c r="F36" s="50"/>
    </row>
    <row r="37" spans="1:6" ht="20.100000000000001" customHeight="1">
      <c r="A37" s="50"/>
      <c r="B37" s="50"/>
      <c r="C37" s="50"/>
      <c r="D37" s="50"/>
      <c r="E37" s="64"/>
      <c r="F37" s="50"/>
    </row>
  </sheetData>
  <mergeCells count="9">
    <mergeCell ref="A36:C36"/>
    <mergeCell ref="A2:F2"/>
    <mergeCell ref="A3:F3"/>
    <mergeCell ref="A24:F24"/>
    <mergeCell ref="A5:E5"/>
    <mergeCell ref="A19:B19"/>
    <mergeCell ref="A21:F21"/>
    <mergeCell ref="A23:C23"/>
    <mergeCell ref="A20:C20"/>
  </mergeCells>
  <phoneticPr fontId="3"/>
  <conditionalFormatting sqref="A2:F2">
    <cfRule type="expression" dxfId="0" priority="1">
      <formula>$A$2=""</formula>
    </cfRule>
  </conditionalFormatting>
  <dataValidations count="1">
    <dataValidation type="list" allowBlank="1" showInputMessage="1" showErrorMessage="1" sqref="A2:F2" xr:uid="{00000000-0002-0000-0500-000000000000}">
      <formula1>"見積企業一覧表,請求企業一覧表"</formula1>
    </dataValidation>
  </dataValidations>
  <printOptions horizontalCentered="1"/>
  <pageMargins left="0.6692913385826772" right="0.6692913385826772" top="0.98425196850393704" bottom="0.98425196850393704" header="0.51181102362204722" footer="0.51181102362204722"/>
  <pageSetup paperSize="9" scale="7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注意事項</vt:lpstr>
      <vt:lpstr>収支予算書(様式2)</vt:lpstr>
      <vt:lpstr>収益・費用明細書(様式3)</vt:lpstr>
      <vt:lpstr>見積企業一覧表(様式4)</vt:lpstr>
      <vt:lpstr>'見積企業一覧表(様式4)'!Print_Area</vt:lpstr>
      <vt:lpstr>'収益・費用明細書(様式3)'!Print_Area</vt:lpstr>
      <vt:lpstr>注意事項!Print_Area</vt:lpstr>
      <vt:lpstr>会場設営費</vt:lpstr>
      <vt:lpstr>企画・演出費</vt:lpstr>
      <vt:lpstr>講師関係費</vt:lpstr>
      <vt:lpstr>本部団関係費</vt:lpstr>
      <vt:lpstr>旅費交通費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2019-01-30T09:08:49Z</cp:lastPrinted>
  <dcterms:created xsi:type="dcterms:W3CDTF">2013-03-21T01:58:38Z</dcterms:created>
  <dcterms:modified xsi:type="dcterms:W3CDTF">2024-09-02T07:48:57Z</dcterms:modified>
</cp:coreProperties>
</file>